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jgre\Documents\Excel\"/>
    </mc:Choice>
  </mc:AlternateContent>
  <xr:revisionPtr revIDLastSave="0" documentId="13_ncr:1_{13F04EC9-3EF7-45D8-93F2-F1F350D0D429}" xr6:coauthVersionLast="47" xr6:coauthVersionMax="47" xr10:uidLastSave="{00000000-0000-0000-0000-000000000000}"/>
  <bookViews>
    <workbookView xWindow="2565" yWindow="3780" windowWidth="28800" windowHeight="17025" activeTab="1" xr2:uid="{57CF7D3F-41BC-43AC-86B7-EC89BD3C1AD3}"/>
  </bookViews>
  <sheets>
    <sheet name="Field Gen Wires" sheetId="1" r:id="rId1"/>
    <sheet name="EBF" sheetId="4" r:id="rId2"/>
    <sheet name="Sheet1" sheetId="7" r:id="rId3"/>
    <sheet name="ABS" sheetId="5" r:id="rId4"/>
    <sheet name="EBF vs ABS Comparison" sheetId="6" r:id="rId5"/>
    <sheet name="Coils" sheetId="3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" i="6" l="1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E25" i="6" s="1" a="1"/>
  <c r="E25" i="6" s="1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P3" i="5"/>
  <c r="D30" i="6" s="1"/>
  <c r="P33" i="5"/>
  <c r="D31" i="6" s="1"/>
  <c r="P6" i="5"/>
  <c r="D50" i="6" s="1"/>
  <c r="P26" i="5"/>
  <c r="D21" i="6" s="1"/>
  <c r="P9" i="5"/>
  <c r="P38" i="5"/>
  <c r="D12" i="6" s="1"/>
  <c r="P45" i="5"/>
  <c r="D16" i="6" s="1"/>
  <c r="P41" i="5"/>
  <c r="D19" i="6" s="1"/>
  <c r="P49" i="5"/>
  <c r="D11" i="6" s="1"/>
  <c r="P42" i="5"/>
  <c r="D22" i="6" s="1"/>
  <c r="P50" i="5"/>
  <c r="D10" i="6" s="1"/>
  <c r="P44" i="5"/>
  <c r="D7" i="6" s="1"/>
  <c r="Y45" i="5"/>
  <c r="X33" i="5"/>
  <c r="X6" i="5"/>
  <c r="X49" i="5"/>
  <c r="X17" i="5"/>
  <c r="X42" i="5"/>
  <c r="K50" i="5"/>
  <c r="X50" i="5" s="1"/>
  <c r="O50" i="5"/>
  <c r="R50" i="5"/>
  <c r="Y50" i="5" s="1"/>
  <c r="Z50" i="5" s="1"/>
  <c r="AA50" i="5" s="1"/>
  <c r="S50" i="5"/>
  <c r="T50" i="5"/>
  <c r="U50" i="5"/>
  <c r="V50" i="5"/>
  <c r="W50" i="5"/>
  <c r="K49" i="5"/>
  <c r="O49" i="5"/>
  <c r="R49" i="5"/>
  <c r="Y49" i="5" s="1"/>
  <c r="Z49" i="5" s="1"/>
  <c r="AA49" i="5" s="1"/>
  <c r="AB49" i="5" s="1"/>
  <c r="AC49" i="5" s="1"/>
  <c r="S49" i="5"/>
  <c r="T49" i="5"/>
  <c r="U49" i="5"/>
  <c r="V49" i="5"/>
  <c r="W49" i="5"/>
  <c r="K48" i="5"/>
  <c r="X48" i="5" s="1"/>
  <c r="AE48" i="5" s="1"/>
  <c r="O48" i="5"/>
  <c r="P48" i="5" s="1"/>
  <c r="D5" i="6" s="1"/>
  <c r="R48" i="5"/>
  <c r="Y48" i="5" s="1"/>
  <c r="Z48" i="5" s="1"/>
  <c r="AA48" i="5" s="1"/>
  <c r="S48" i="5"/>
  <c r="T48" i="5"/>
  <c r="U48" i="5"/>
  <c r="V48" i="5"/>
  <c r="W48" i="5"/>
  <c r="K47" i="5"/>
  <c r="X47" i="5" s="1"/>
  <c r="O47" i="5"/>
  <c r="P47" i="5" s="1"/>
  <c r="D13" i="6" s="1"/>
  <c r="R47" i="5"/>
  <c r="Y47" i="5" s="1"/>
  <c r="Z47" i="5" s="1"/>
  <c r="AA47" i="5" s="1"/>
  <c r="AB47" i="5" s="1"/>
  <c r="AC47" i="5" s="1"/>
  <c r="S47" i="5"/>
  <c r="T47" i="5"/>
  <c r="U47" i="5"/>
  <c r="V47" i="5"/>
  <c r="W47" i="5"/>
  <c r="K45" i="5"/>
  <c r="X45" i="5" s="1"/>
  <c r="O45" i="5"/>
  <c r="R45" i="5"/>
  <c r="S45" i="5"/>
  <c r="T45" i="5"/>
  <c r="U45" i="5"/>
  <c r="V45" i="5"/>
  <c r="W45" i="5"/>
  <c r="K46" i="5"/>
  <c r="O46" i="5"/>
  <c r="P46" i="5" s="1"/>
  <c r="D15" i="6" s="1"/>
  <c r="R46" i="5"/>
  <c r="Y46" i="5" s="1"/>
  <c r="S46" i="5"/>
  <c r="T46" i="5"/>
  <c r="U46" i="5"/>
  <c r="V46" i="5"/>
  <c r="W46" i="5"/>
  <c r="K42" i="5"/>
  <c r="O42" i="5"/>
  <c r="R42" i="5"/>
  <c r="Y42" i="5" s="1"/>
  <c r="S42" i="5"/>
  <c r="T42" i="5"/>
  <c r="U42" i="5"/>
  <c r="V42" i="5"/>
  <c r="W42" i="5"/>
  <c r="K40" i="5"/>
  <c r="O40" i="5"/>
  <c r="P40" i="5" s="1"/>
  <c r="D35" i="6" s="1"/>
  <c r="R40" i="5"/>
  <c r="Y40" i="5" s="1"/>
  <c r="S40" i="5"/>
  <c r="T40" i="5"/>
  <c r="U40" i="5"/>
  <c r="V40" i="5"/>
  <c r="W40" i="5"/>
  <c r="K32" i="5"/>
  <c r="K43" i="5"/>
  <c r="O43" i="5"/>
  <c r="P43" i="5" s="1"/>
  <c r="D18" i="6" s="1"/>
  <c r="R43" i="5"/>
  <c r="Y43" i="5" s="1"/>
  <c r="S43" i="5"/>
  <c r="T43" i="5"/>
  <c r="U43" i="5"/>
  <c r="V43" i="5"/>
  <c r="W43" i="5"/>
  <c r="O32" i="5"/>
  <c r="P32" i="5" s="1"/>
  <c r="D8" i="6" s="1"/>
  <c r="R32" i="5"/>
  <c r="Y32" i="5" s="1"/>
  <c r="S32" i="5"/>
  <c r="T32" i="5"/>
  <c r="U32" i="5"/>
  <c r="V32" i="5"/>
  <c r="W32" i="5"/>
  <c r="K41" i="5"/>
  <c r="X41" i="5" s="1"/>
  <c r="O41" i="5"/>
  <c r="R41" i="5"/>
  <c r="Y41" i="5" s="1"/>
  <c r="S41" i="5"/>
  <c r="T41" i="5"/>
  <c r="U41" i="5"/>
  <c r="V41" i="5"/>
  <c r="W41" i="5"/>
  <c r="K37" i="5"/>
  <c r="O37" i="5"/>
  <c r="P37" i="5" s="1"/>
  <c r="D45" i="6" s="1"/>
  <c r="R37" i="5"/>
  <c r="Y37" i="5" s="1"/>
  <c r="S37" i="5"/>
  <c r="T37" i="5"/>
  <c r="U37" i="5"/>
  <c r="V37" i="5"/>
  <c r="W37" i="5"/>
  <c r="K38" i="5"/>
  <c r="X38" i="5" s="1"/>
  <c r="O38" i="5"/>
  <c r="R38" i="5"/>
  <c r="Y38" i="5" s="1"/>
  <c r="S38" i="5"/>
  <c r="T38" i="5"/>
  <c r="U38" i="5"/>
  <c r="V38" i="5"/>
  <c r="W38" i="5"/>
  <c r="K44" i="5"/>
  <c r="X44" i="5" s="1"/>
  <c r="O44" i="5"/>
  <c r="R44" i="5"/>
  <c r="Y44" i="5" s="1"/>
  <c r="S44" i="5"/>
  <c r="T44" i="5"/>
  <c r="U44" i="5"/>
  <c r="V44" i="5"/>
  <c r="W44" i="5"/>
  <c r="K39" i="5"/>
  <c r="X39" i="5" s="1"/>
  <c r="O39" i="5"/>
  <c r="P39" i="5" s="1"/>
  <c r="D14" i="6" s="1"/>
  <c r="R39" i="5"/>
  <c r="Y39" i="5" s="1"/>
  <c r="S39" i="5"/>
  <c r="T39" i="5"/>
  <c r="U39" i="5"/>
  <c r="V39" i="5"/>
  <c r="W39" i="5"/>
  <c r="K35" i="5"/>
  <c r="X35" i="5" s="1"/>
  <c r="O35" i="5"/>
  <c r="P35" i="5" s="1"/>
  <c r="D36" i="6" s="1"/>
  <c r="R35" i="5"/>
  <c r="Y35" i="5" s="1"/>
  <c r="S35" i="5"/>
  <c r="T35" i="5"/>
  <c r="U35" i="5"/>
  <c r="V35" i="5"/>
  <c r="W35" i="5"/>
  <c r="K33" i="5"/>
  <c r="O33" i="5"/>
  <c r="R33" i="5"/>
  <c r="Y33" i="5" s="1"/>
  <c r="S33" i="5"/>
  <c r="T33" i="5"/>
  <c r="U33" i="5"/>
  <c r="V33" i="5"/>
  <c r="W33" i="5"/>
  <c r="K34" i="5"/>
  <c r="X34" i="5" s="1"/>
  <c r="O34" i="5"/>
  <c r="P34" i="5" s="1"/>
  <c r="D4" i="6" s="1"/>
  <c r="R34" i="5"/>
  <c r="Y34" i="5" s="1"/>
  <c r="S34" i="5"/>
  <c r="T34" i="5"/>
  <c r="U34" i="5"/>
  <c r="V34" i="5"/>
  <c r="W34" i="5"/>
  <c r="K36" i="5"/>
  <c r="X36" i="5" s="1"/>
  <c r="O36" i="5"/>
  <c r="P36" i="5" s="1"/>
  <c r="D17" i="6" s="1"/>
  <c r="R36" i="5"/>
  <c r="Y36" i="5" s="1"/>
  <c r="S36" i="5"/>
  <c r="T36" i="5"/>
  <c r="U36" i="5"/>
  <c r="V36" i="5"/>
  <c r="W36" i="5"/>
  <c r="K28" i="5"/>
  <c r="X28" i="5" s="1"/>
  <c r="O28" i="5"/>
  <c r="P28" i="5" s="1"/>
  <c r="D20" i="6" s="1"/>
  <c r="R28" i="5"/>
  <c r="Y28" i="5" s="1"/>
  <c r="S28" i="5"/>
  <c r="T28" i="5"/>
  <c r="U28" i="5"/>
  <c r="V28" i="5"/>
  <c r="W28" i="5"/>
  <c r="K30" i="5"/>
  <c r="X30" i="5" s="1"/>
  <c r="O30" i="5"/>
  <c r="P30" i="5" s="1"/>
  <c r="D42" i="6" s="1"/>
  <c r="R30" i="5"/>
  <c r="Y30" i="5" s="1"/>
  <c r="Z30" i="5" s="1"/>
  <c r="AA30" i="5" s="1"/>
  <c r="S30" i="5"/>
  <c r="T30" i="5"/>
  <c r="U30" i="5"/>
  <c r="V30" i="5"/>
  <c r="W30" i="5"/>
  <c r="K25" i="5"/>
  <c r="O25" i="5"/>
  <c r="P25" i="5" s="1"/>
  <c r="D49" i="6" s="1"/>
  <c r="R25" i="5"/>
  <c r="Y25" i="5" s="1"/>
  <c r="S25" i="5"/>
  <c r="T25" i="5"/>
  <c r="U25" i="5"/>
  <c r="V25" i="5"/>
  <c r="W25" i="5"/>
  <c r="K31" i="5"/>
  <c r="X31" i="5" s="1"/>
  <c r="O31" i="5"/>
  <c r="P31" i="5" s="1"/>
  <c r="D46" i="6" s="1"/>
  <c r="R31" i="5"/>
  <c r="Y31" i="5" s="1"/>
  <c r="S31" i="5"/>
  <c r="T31" i="5"/>
  <c r="U31" i="5"/>
  <c r="V31" i="5"/>
  <c r="W31" i="5"/>
  <c r="K27" i="5"/>
  <c r="X27" i="5" s="1"/>
  <c r="O27" i="5"/>
  <c r="P27" i="5" s="1"/>
  <c r="D32" i="6" s="1"/>
  <c r="R27" i="5"/>
  <c r="Y27" i="5" s="1"/>
  <c r="S27" i="5"/>
  <c r="T27" i="5"/>
  <c r="U27" i="5"/>
  <c r="V27" i="5"/>
  <c r="W27" i="5"/>
  <c r="K29" i="5"/>
  <c r="X29" i="5" s="1"/>
  <c r="O29" i="5"/>
  <c r="P29" i="5" s="1"/>
  <c r="D26" i="6" s="1"/>
  <c r="R29" i="5"/>
  <c r="Y29" i="5" s="1"/>
  <c r="Z29" i="5" s="1"/>
  <c r="AA29" i="5" s="1"/>
  <c r="S29" i="5"/>
  <c r="T29" i="5"/>
  <c r="U29" i="5"/>
  <c r="V29" i="5"/>
  <c r="W29" i="5"/>
  <c r="K23" i="5"/>
  <c r="O23" i="5"/>
  <c r="P23" i="5" s="1"/>
  <c r="D3" i="6" s="1"/>
  <c r="R23" i="5"/>
  <c r="Y23" i="5" s="1"/>
  <c r="S23" i="5"/>
  <c r="T23" i="5"/>
  <c r="U23" i="5"/>
  <c r="V23" i="5"/>
  <c r="W23" i="5"/>
  <c r="K26" i="5"/>
  <c r="X26" i="5" s="1"/>
  <c r="O26" i="5"/>
  <c r="R26" i="5"/>
  <c r="Y26" i="5" s="1"/>
  <c r="S26" i="5"/>
  <c r="T26" i="5"/>
  <c r="U26" i="5"/>
  <c r="V26" i="5"/>
  <c r="W26" i="5"/>
  <c r="K11" i="5"/>
  <c r="O11" i="5"/>
  <c r="P11" i="5" s="1"/>
  <c r="D27" i="6" s="1"/>
  <c r="R11" i="5"/>
  <c r="Y11" i="5" s="1"/>
  <c r="S11" i="5"/>
  <c r="T11" i="5"/>
  <c r="U11" i="5"/>
  <c r="V11" i="5"/>
  <c r="W11" i="5"/>
  <c r="K8" i="5"/>
  <c r="O8" i="5"/>
  <c r="P8" i="5" s="1"/>
  <c r="D37" i="6" s="1"/>
  <c r="R8" i="5"/>
  <c r="Y8" i="5" s="1"/>
  <c r="S8" i="5"/>
  <c r="T8" i="5"/>
  <c r="U8" i="5"/>
  <c r="V8" i="5"/>
  <c r="W8" i="5"/>
  <c r="K7" i="5"/>
  <c r="X7" i="5" s="1"/>
  <c r="O7" i="5"/>
  <c r="P7" i="5" s="1"/>
  <c r="D33" i="6" s="1"/>
  <c r="R7" i="5"/>
  <c r="Y7" i="5" s="1"/>
  <c r="Z7" i="5" s="1"/>
  <c r="AA7" i="5" s="1"/>
  <c r="S7" i="5"/>
  <c r="T7" i="5"/>
  <c r="U7" i="5"/>
  <c r="V7" i="5"/>
  <c r="W7" i="5"/>
  <c r="K21" i="5"/>
  <c r="X21" i="5" s="1"/>
  <c r="O21" i="5"/>
  <c r="P21" i="5" s="1"/>
  <c r="D48" i="6" s="1"/>
  <c r="R21" i="5"/>
  <c r="Y21" i="5" s="1"/>
  <c r="Z21" i="5" s="1"/>
  <c r="AA21" i="5" s="1"/>
  <c r="S21" i="5"/>
  <c r="T21" i="5"/>
  <c r="U21" i="5"/>
  <c r="V21" i="5"/>
  <c r="W21" i="5"/>
  <c r="K20" i="5"/>
  <c r="O20" i="5"/>
  <c r="P20" i="5" s="1"/>
  <c r="D34" i="6" s="1"/>
  <c r="R20" i="5"/>
  <c r="Y20" i="5" s="1"/>
  <c r="S20" i="5"/>
  <c r="T20" i="5"/>
  <c r="U20" i="5"/>
  <c r="V20" i="5"/>
  <c r="W20" i="5"/>
  <c r="K17" i="5"/>
  <c r="O17" i="5"/>
  <c r="P17" i="5" s="1"/>
  <c r="D47" i="6" s="1"/>
  <c r="R17" i="5"/>
  <c r="Y17" i="5" s="1"/>
  <c r="Z17" i="5" s="1"/>
  <c r="AA17" i="5" s="1"/>
  <c r="S17" i="5"/>
  <c r="T17" i="5"/>
  <c r="U17" i="5"/>
  <c r="V17" i="5"/>
  <c r="W17" i="5"/>
  <c r="K19" i="5"/>
  <c r="O19" i="5"/>
  <c r="P19" i="5" s="1"/>
  <c r="D29" i="6" s="1"/>
  <c r="R19" i="5"/>
  <c r="Y19" i="5" s="1"/>
  <c r="S19" i="5"/>
  <c r="T19" i="5"/>
  <c r="U19" i="5"/>
  <c r="V19" i="5"/>
  <c r="W19" i="5"/>
  <c r="K15" i="5"/>
  <c r="O15" i="5"/>
  <c r="P15" i="5" s="1"/>
  <c r="D40" i="6" s="1"/>
  <c r="R15" i="5"/>
  <c r="Y15" i="5" s="1"/>
  <c r="S15" i="5"/>
  <c r="T15" i="5"/>
  <c r="U15" i="5"/>
  <c r="V15" i="5"/>
  <c r="W15" i="5"/>
  <c r="K13" i="5"/>
  <c r="X13" i="5" s="1"/>
  <c r="O13" i="5"/>
  <c r="P13" i="5" s="1"/>
  <c r="D43" i="6" s="1"/>
  <c r="R13" i="5"/>
  <c r="Y13" i="5" s="1"/>
  <c r="Z13" i="5" s="1"/>
  <c r="AA13" i="5" s="1"/>
  <c r="S13" i="5"/>
  <c r="T13" i="5"/>
  <c r="U13" i="5"/>
  <c r="V13" i="5"/>
  <c r="W13" i="5"/>
  <c r="K10" i="5"/>
  <c r="X10" i="5" s="1"/>
  <c r="O10" i="5"/>
  <c r="P10" i="5" s="1"/>
  <c r="D23" i="6" s="1"/>
  <c r="R10" i="5"/>
  <c r="Y10" i="5" s="1"/>
  <c r="S10" i="5"/>
  <c r="T10" i="5"/>
  <c r="U10" i="5"/>
  <c r="V10" i="5"/>
  <c r="W10" i="5"/>
  <c r="K18" i="5"/>
  <c r="O18" i="5"/>
  <c r="P18" i="5" s="1"/>
  <c r="D28" i="6" s="1"/>
  <c r="R18" i="5"/>
  <c r="Y18" i="5" s="1"/>
  <c r="S18" i="5"/>
  <c r="T18" i="5"/>
  <c r="U18" i="5"/>
  <c r="V18" i="5"/>
  <c r="W18" i="5"/>
  <c r="K16" i="5"/>
  <c r="X16" i="5" s="1"/>
  <c r="O16" i="5"/>
  <c r="P16" i="5" s="1"/>
  <c r="D38" i="6" s="1"/>
  <c r="R16" i="5"/>
  <c r="Y16" i="5" s="1"/>
  <c r="S16" i="5"/>
  <c r="T16" i="5"/>
  <c r="U16" i="5"/>
  <c r="V16" i="5"/>
  <c r="W16" i="5"/>
  <c r="K9" i="5"/>
  <c r="X9" i="5" s="1"/>
  <c r="O9" i="5"/>
  <c r="R9" i="5"/>
  <c r="Y9" i="5" s="1"/>
  <c r="S9" i="5"/>
  <c r="T9" i="5"/>
  <c r="U9" i="5"/>
  <c r="V9" i="5"/>
  <c r="W9" i="5"/>
  <c r="K5" i="5"/>
  <c r="X5" i="5" s="1"/>
  <c r="O5" i="5"/>
  <c r="P5" i="5" s="1"/>
  <c r="D9" i="6" s="1"/>
  <c r="R5" i="5"/>
  <c r="Y5" i="5" s="1"/>
  <c r="Z5" i="5" s="1"/>
  <c r="AA5" i="5" s="1"/>
  <c r="AB5" i="5" s="1"/>
  <c r="AC5" i="5" s="1"/>
  <c r="S5" i="5"/>
  <c r="T5" i="5"/>
  <c r="U5" i="5"/>
  <c r="V5" i="5"/>
  <c r="W5" i="5"/>
  <c r="K14" i="5"/>
  <c r="X14" i="5" s="1"/>
  <c r="O14" i="5"/>
  <c r="P14" i="5" s="1"/>
  <c r="D39" i="6" s="1"/>
  <c r="R14" i="5"/>
  <c r="Y14" i="5" s="1"/>
  <c r="S14" i="5"/>
  <c r="T14" i="5"/>
  <c r="U14" i="5"/>
  <c r="V14" i="5"/>
  <c r="W14" i="5"/>
  <c r="K12" i="5"/>
  <c r="X12" i="5" s="1"/>
  <c r="O12" i="5"/>
  <c r="P12" i="5" s="1"/>
  <c r="D44" i="6" s="1"/>
  <c r="R12" i="5"/>
  <c r="Y12" i="5" s="1"/>
  <c r="Z12" i="5" s="1"/>
  <c r="AA12" i="5" s="1"/>
  <c r="AB12" i="5" s="1"/>
  <c r="AC12" i="5" s="1"/>
  <c r="S12" i="5"/>
  <c r="T12" i="5"/>
  <c r="U12" i="5"/>
  <c r="V12" i="5"/>
  <c r="W12" i="5"/>
  <c r="K24" i="5"/>
  <c r="X24" i="5" s="1"/>
  <c r="O24" i="5"/>
  <c r="P24" i="5" s="1"/>
  <c r="D6" i="6" s="1"/>
  <c r="R24" i="5"/>
  <c r="Y24" i="5" s="1"/>
  <c r="S24" i="5"/>
  <c r="T24" i="5"/>
  <c r="U24" i="5"/>
  <c r="V24" i="5"/>
  <c r="W24" i="5"/>
  <c r="K6" i="5"/>
  <c r="O6" i="5"/>
  <c r="R6" i="5"/>
  <c r="Y6" i="5" s="1"/>
  <c r="Z6" i="5" s="1"/>
  <c r="AA6" i="5" s="1"/>
  <c r="AB6" i="5" s="1"/>
  <c r="AC6" i="5" s="1"/>
  <c r="S6" i="5"/>
  <c r="T6" i="5"/>
  <c r="U6" i="5"/>
  <c r="V6" i="5"/>
  <c r="W6" i="5"/>
  <c r="K4" i="5"/>
  <c r="X4" i="5" s="1"/>
  <c r="O4" i="5"/>
  <c r="P4" i="5" s="1"/>
  <c r="D24" i="6" s="1"/>
  <c r="R4" i="5"/>
  <c r="Y4" i="5" s="1"/>
  <c r="Z4" i="5" s="1"/>
  <c r="AD4" i="5" s="1"/>
  <c r="S4" i="5"/>
  <c r="T4" i="5"/>
  <c r="U4" i="5"/>
  <c r="V4" i="5"/>
  <c r="W4" i="5"/>
  <c r="K22" i="5"/>
  <c r="X22" i="5" s="1"/>
  <c r="O22" i="5"/>
  <c r="P22" i="5" s="1"/>
  <c r="D41" i="6" s="1"/>
  <c r="R22" i="5"/>
  <c r="Y22" i="5" s="1"/>
  <c r="S22" i="5"/>
  <c r="T22" i="5"/>
  <c r="U22" i="5"/>
  <c r="V22" i="5"/>
  <c r="W22" i="5"/>
  <c r="O3" i="5"/>
  <c r="W3" i="5"/>
  <c r="V3" i="5"/>
  <c r="U3" i="5"/>
  <c r="T3" i="5"/>
  <c r="S3" i="5"/>
  <c r="K3" i="5"/>
  <c r="X3" i="5" s="1"/>
  <c r="R3" i="5"/>
  <c r="Y3" i="5" s="1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P3" i="4"/>
  <c r="Q3" i="4" s="1"/>
  <c r="P4" i="4"/>
  <c r="Q4" i="4" s="1"/>
  <c r="P5" i="4"/>
  <c r="T5" i="4" s="1"/>
  <c r="P6" i="4"/>
  <c r="Q6" i="4" s="1"/>
  <c r="P7" i="4"/>
  <c r="Q7" i="4" s="1"/>
  <c r="P8" i="4"/>
  <c r="Q8" i="4" s="1"/>
  <c r="P9" i="4"/>
  <c r="Q9" i="4" s="1"/>
  <c r="P10" i="4"/>
  <c r="Q10" i="4" s="1"/>
  <c r="P11" i="4"/>
  <c r="Q11" i="4" s="1"/>
  <c r="P12" i="4"/>
  <c r="Q12" i="4" s="1"/>
  <c r="P13" i="4"/>
  <c r="Q13" i="4" s="1"/>
  <c r="P14" i="4"/>
  <c r="Q14" i="4" s="1"/>
  <c r="P15" i="4"/>
  <c r="Q15" i="4" s="1"/>
  <c r="P16" i="4"/>
  <c r="Q16" i="4" s="1"/>
  <c r="P17" i="4"/>
  <c r="T17" i="4" s="1"/>
  <c r="P18" i="4"/>
  <c r="T18" i="4" s="1"/>
  <c r="V18" i="4" s="1"/>
  <c r="P19" i="4"/>
  <c r="Q19" i="4" s="1"/>
  <c r="P20" i="4"/>
  <c r="Q20" i="4" s="1"/>
  <c r="P21" i="4"/>
  <c r="Q21" i="4" s="1"/>
  <c r="P22" i="4"/>
  <c r="Q22" i="4" s="1"/>
  <c r="P23" i="4"/>
  <c r="Q23" i="4" s="1"/>
  <c r="P24" i="4"/>
  <c r="Q24" i="4" s="1"/>
  <c r="P25" i="4"/>
  <c r="Q25" i="4" s="1"/>
  <c r="P26" i="4"/>
  <c r="Q26" i="4" s="1"/>
  <c r="P27" i="4"/>
  <c r="Q27" i="4" s="1"/>
  <c r="P28" i="4"/>
  <c r="Q28" i="4" s="1"/>
  <c r="P29" i="4"/>
  <c r="Q29" i="4" s="1"/>
  <c r="P30" i="4"/>
  <c r="Q30" i="4" s="1"/>
  <c r="P31" i="4"/>
  <c r="Q31" i="4" s="1"/>
  <c r="P32" i="4"/>
  <c r="Q32" i="4" s="1"/>
  <c r="P33" i="4"/>
  <c r="Q33" i="4" s="1"/>
  <c r="P34" i="4"/>
  <c r="Q34" i="4" s="1"/>
  <c r="P35" i="4"/>
  <c r="Q35" i="4" s="1"/>
  <c r="P36" i="4"/>
  <c r="Q36" i="4" s="1"/>
  <c r="P37" i="4"/>
  <c r="Q37" i="4" s="1"/>
  <c r="P38" i="4"/>
  <c r="Q38" i="4" s="1"/>
  <c r="P39" i="4"/>
  <c r="Q39" i="4" s="1"/>
  <c r="P40" i="4"/>
  <c r="Q40" i="4" s="1"/>
  <c r="P41" i="4"/>
  <c r="Q41" i="4" s="1"/>
  <c r="P42" i="4"/>
  <c r="Q42" i="4" s="1"/>
  <c r="P43" i="4"/>
  <c r="Q43" i="4" s="1"/>
  <c r="P44" i="4"/>
  <c r="Q44" i="4" s="1"/>
  <c r="P45" i="4"/>
  <c r="Q45" i="4" s="1"/>
  <c r="P46" i="4"/>
  <c r="Q46" i="4" s="1"/>
  <c r="P47" i="4"/>
  <c r="Q47" i="4" s="1"/>
  <c r="P48" i="4"/>
  <c r="Q48" i="4" s="1"/>
  <c r="P49" i="4"/>
  <c r="Q49" i="4" s="1"/>
  <c r="P50" i="4"/>
  <c r="Q50" i="4" s="1"/>
  <c r="P51" i="4"/>
  <c r="Q51" i="4" s="1"/>
  <c r="P52" i="4"/>
  <c r="Q52" i="4" s="1"/>
  <c r="P53" i="4"/>
  <c r="Q53" i="4" s="1"/>
  <c r="P54" i="4"/>
  <c r="Q54" i="4" s="1"/>
  <c r="P55" i="4"/>
  <c r="Q55" i="4" s="1"/>
  <c r="P56" i="4"/>
  <c r="Q56" i="4" s="1"/>
  <c r="P57" i="4"/>
  <c r="Q57" i="4" s="1"/>
  <c r="P58" i="4"/>
  <c r="Q58" i="4" s="1"/>
  <c r="P59" i="4"/>
  <c r="Q59" i="4" s="1"/>
  <c r="P60" i="4"/>
  <c r="Q60" i="4" s="1"/>
  <c r="P61" i="4"/>
  <c r="Q61" i="4" s="1"/>
  <c r="P62" i="4"/>
  <c r="Q62" i="4" s="1"/>
  <c r="P63" i="4"/>
  <c r="Q63" i="4" s="1"/>
  <c r="P64" i="4"/>
  <c r="Q64" i="4" s="1"/>
  <c r="P65" i="4"/>
  <c r="T65" i="4" s="1"/>
  <c r="P66" i="4"/>
  <c r="Q66" i="4" s="1"/>
  <c r="P67" i="4"/>
  <c r="Q67" i="4" s="1"/>
  <c r="P68" i="4"/>
  <c r="Q68" i="4" s="1"/>
  <c r="P69" i="4"/>
  <c r="T69" i="4" s="1"/>
  <c r="V69" i="4" s="1"/>
  <c r="P70" i="4"/>
  <c r="Q70" i="4" s="1"/>
  <c r="P71" i="4"/>
  <c r="Q71" i="4" s="1"/>
  <c r="P72" i="4"/>
  <c r="Q72" i="4" s="1"/>
  <c r="P73" i="4"/>
  <c r="Q73" i="4" s="1"/>
  <c r="P74" i="4"/>
  <c r="Q74" i="4" s="1"/>
  <c r="P75" i="4"/>
  <c r="Q75" i="4" s="1"/>
  <c r="P76" i="4"/>
  <c r="Q76" i="4" s="1"/>
  <c r="P77" i="4"/>
  <c r="Q77" i="4" s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M77" i="4"/>
  <c r="L77" i="4"/>
  <c r="K77" i="4"/>
  <c r="J77" i="4"/>
  <c r="I77" i="4"/>
  <c r="D77" i="4"/>
  <c r="U77" i="4" s="1"/>
  <c r="M76" i="4"/>
  <c r="L76" i="4"/>
  <c r="K76" i="4"/>
  <c r="J76" i="4"/>
  <c r="I76" i="4"/>
  <c r="D76" i="4"/>
  <c r="U76" i="4" s="1"/>
  <c r="M75" i="4"/>
  <c r="L75" i="4"/>
  <c r="K75" i="4"/>
  <c r="J75" i="4"/>
  <c r="I75" i="4"/>
  <c r="D75" i="4"/>
  <c r="U75" i="4" s="1"/>
  <c r="M74" i="4"/>
  <c r="L74" i="4"/>
  <c r="K74" i="4"/>
  <c r="J74" i="4"/>
  <c r="I74" i="4"/>
  <c r="D74" i="4"/>
  <c r="U74" i="4" s="1"/>
  <c r="M73" i="4"/>
  <c r="L73" i="4"/>
  <c r="K73" i="4"/>
  <c r="J73" i="4"/>
  <c r="I73" i="4"/>
  <c r="D73" i="4"/>
  <c r="U73" i="4" s="1"/>
  <c r="M72" i="4"/>
  <c r="L72" i="4"/>
  <c r="K72" i="4"/>
  <c r="J72" i="4"/>
  <c r="I72" i="4"/>
  <c r="D72" i="4"/>
  <c r="U72" i="4" s="1"/>
  <c r="M71" i="4"/>
  <c r="L71" i="4"/>
  <c r="K71" i="4"/>
  <c r="J71" i="4"/>
  <c r="I71" i="4"/>
  <c r="D71" i="4"/>
  <c r="U71" i="4" s="1"/>
  <c r="M70" i="4"/>
  <c r="L70" i="4"/>
  <c r="K70" i="4"/>
  <c r="J70" i="4"/>
  <c r="I70" i="4"/>
  <c r="D70" i="4"/>
  <c r="U70" i="4" s="1"/>
  <c r="M69" i="4"/>
  <c r="L69" i="4"/>
  <c r="K69" i="4"/>
  <c r="J69" i="4"/>
  <c r="I69" i="4"/>
  <c r="D69" i="4"/>
  <c r="U69" i="4" s="1"/>
  <c r="M68" i="4"/>
  <c r="L68" i="4"/>
  <c r="K68" i="4"/>
  <c r="J68" i="4"/>
  <c r="I68" i="4"/>
  <c r="D68" i="4"/>
  <c r="U68" i="4" s="1"/>
  <c r="M67" i="4"/>
  <c r="L67" i="4"/>
  <c r="K67" i="4"/>
  <c r="J67" i="4"/>
  <c r="I67" i="4"/>
  <c r="D67" i="4"/>
  <c r="U67" i="4" s="1"/>
  <c r="M66" i="4"/>
  <c r="L66" i="4"/>
  <c r="K66" i="4"/>
  <c r="J66" i="4"/>
  <c r="I66" i="4"/>
  <c r="D66" i="4"/>
  <c r="U66" i="4" s="1"/>
  <c r="M65" i="4"/>
  <c r="L65" i="4"/>
  <c r="K65" i="4"/>
  <c r="J65" i="4"/>
  <c r="I65" i="4"/>
  <c r="D65" i="4"/>
  <c r="U65" i="4" s="1"/>
  <c r="V65" i="4" s="1"/>
  <c r="M64" i="4"/>
  <c r="L64" i="4"/>
  <c r="K64" i="4"/>
  <c r="J64" i="4"/>
  <c r="I64" i="4"/>
  <c r="D64" i="4"/>
  <c r="U64" i="4" s="1"/>
  <c r="M63" i="4"/>
  <c r="L63" i="4"/>
  <c r="K63" i="4"/>
  <c r="J63" i="4"/>
  <c r="I63" i="4"/>
  <c r="D63" i="4"/>
  <c r="U63" i="4" s="1"/>
  <c r="M62" i="4"/>
  <c r="L62" i="4"/>
  <c r="K62" i="4"/>
  <c r="J62" i="4"/>
  <c r="I62" i="4"/>
  <c r="D62" i="4"/>
  <c r="U62" i="4" s="1"/>
  <c r="M61" i="4"/>
  <c r="L61" i="4"/>
  <c r="K61" i="4"/>
  <c r="J61" i="4"/>
  <c r="I61" i="4"/>
  <c r="D61" i="4"/>
  <c r="U61" i="4" s="1"/>
  <c r="M60" i="4"/>
  <c r="L60" i="4"/>
  <c r="K60" i="4"/>
  <c r="J60" i="4"/>
  <c r="I60" i="4"/>
  <c r="D60" i="4"/>
  <c r="U60" i="4" s="1"/>
  <c r="M59" i="4"/>
  <c r="L59" i="4"/>
  <c r="K59" i="4"/>
  <c r="J59" i="4"/>
  <c r="I59" i="4"/>
  <c r="D59" i="4"/>
  <c r="U59" i="4" s="1"/>
  <c r="M58" i="4"/>
  <c r="L58" i="4"/>
  <c r="K58" i="4"/>
  <c r="J58" i="4"/>
  <c r="I58" i="4"/>
  <c r="D58" i="4"/>
  <c r="U58" i="4" s="1"/>
  <c r="M57" i="4"/>
  <c r="L57" i="4"/>
  <c r="K57" i="4"/>
  <c r="J57" i="4"/>
  <c r="I57" i="4"/>
  <c r="D57" i="4"/>
  <c r="U57" i="4" s="1"/>
  <c r="M56" i="4"/>
  <c r="L56" i="4"/>
  <c r="K56" i="4"/>
  <c r="J56" i="4"/>
  <c r="I56" i="4"/>
  <c r="D56" i="4"/>
  <c r="U56" i="4" s="1"/>
  <c r="M55" i="4"/>
  <c r="L55" i="4"/>
  <c r="K55" i="4"/>
  <c r="J55" i="4"/>
  <c r="I55" i="4"/>
  <c r="D55" i="4"/>
  <c r="U55" i="4" s="1"/>
  <c r="M54" i="4"/>
  <c r="L54" i="4"/>
  <c r="K54" i="4"/>
  <c r="J54" i="4"/>
  <c r="I54" i="4"/>
  <c r="D54" i="4"/>
  <c r="U54" i="4" s="1"/>
  <c r="M53" i="4"/>
  <c r="L53" i="4"/>
  <c r="K53" i="4"/>
  <c r="J53" i="4"/>
  <c r="I53" i="4"/>
  <c r="D53" i="4"/>
  <c r="U53" i="4" s="1"/>
  <c r="M52" i="4"/>
  <c r="L52" i="4"/>
  <c r="K52" i="4"/>
  <c r="J52" i="4"/>
  <c r="I52" i="4"/>
  <c r="D52" i="4"/>
  <c r="U52" i="4" s="1"/>
  <c r="M51" i="4"/>
  <c r="L51" i="4"/>
  <c r="K51" i="4"/>
  <c r="J51" i="4"/>
  <c r="I51" i="4"/>
  <c r="D51" i="4"/>
  <c r="U51" i="4" s="1"/>
  <c r="M50" i="4"/>
  <c r="L50" i="4"/>
  <c r="K50" i="4"/>
  <c r="J50" i="4"/>
  <c r="I50" i="4"/>
  <c r="D50" i="4"/>
  <c r="U50" i="4" s="1"/>
  <c r="M49" i="4"/>
  <c r="L49" i="4"/>
  <c r="K49" i="4"/>
  <c r="J49" i="4"/>
  <c r="I49" i="4"/>
  <c r="D49" i="4"/>
  <c r="U49" i="4" s="1"/>
  <c r="M48" i="4"/>
  <c r="L48" i="4"/>
  <c r="K48" i="4"/>
  <c r="J48" i="4"/>
  <c r="I48" i="4"/>
  <c r="D48" i="4"/>
  <c r="U48" i="4" s="1"/>
  <c r="M47" i="4"/>
  <c r="L47" i="4"/>
  <c r="K47" i="4"/>
  <c r="J47" i="4"/>
  <c r="I47" i="4"/>
  <c r="D47" i="4"/>
  <c r="U47" i="4" s="1"/>
  <c r="M46" i="4"/>
  <c r="L46" i="4"/>
  <c r="K46" i="4"/>
  <c r="J46" i="4"/>
  <c r="I46" i="4"/>
  <c r="D46" i="4"/>
  <c r="M45" i="4"/>
  <c r="L45" i="4"/>
  <c r="K45" i="4"/>
  <c r="J45" i="4"/>
  <c r="I45" i="4"/>
  <c r="D45" i="4"/>
  <c r="U45" i="4" s="1"/>
  <c r="M44" i="4"/>
  <c r="L44" i="4"/>
  <c r="K44" i="4"/>
  <c r="J44" i="4"/>
  <c r="I44" i="4"/>
  <c r="D44" i="4"/>
  <c r="U44" i="4" s="1"/>
  <c r="M43" i="4"/>
  <c r="L43" i="4"/>
  <c r="K43" i="4"/>
  <c r="J43" i="4"/>
  <c r="I43" i="4"/>
  <c r="D43" i="4"/>
  <c r="U43" i="4" s="1"/>
  <c r="M42" i="4"/>
  <c r="L42" i="4"/>
  <c r="K42" i="4"/>
  <c r="J42" i="4"/>
  <c r="I42" i="4"/>
  <c r="D42" i="4"/>
  <c r="U42" i="4" s="1"/>
  <c r="M41" i="4"/>
  <c r="L41" i="4"/>
  <c r="K41" i="4"/>
  <c r="J41" i="4"/>
  <c r="I41" i="4"/>
  <c r="D41" i="4"/>
  <c r="U41" i="4" s="1"/>
  <c r="M40" i="4"/>
  <c r="L40" i="4"/>
  <c r="K40" i="4"/>
  <c r="J40" i="4"/>
  <c r="I40" i="4"/>
  <c r="D40" i="4"/>
  <c r="U40" i="4" s="1"/>
  <c r="M39" i="4"/>
  <c r="L39" i="4"/>
  <c r="K39" i="4"/>
  <c r="J39" i="4"/>
  <c r="I39" i="4"/>
  <c r="D39" i="4"/>
  <c r="U39" i="4" s="1"/>
  <c r="M38" i="4"/>
  <c r="L38" i="4"/>
  <c r="K38" i="4"/>
  <c r="J38" i="4"/>
  <c r="I38" i="4"/>
  <c r="D38" i="4"/>
  <c r="M37" i="4"/>
  <c r="L37" i="4"/>
  <c r="K37" i="4"/>
  <c r="J37" i="4"/>
  <c r="I37" i="4"/>
  <c r="D37" i="4"/>
  <c r="U37" i="4" s="1"/>
  <c r="M36" i="4"/>
  <c r="L36" i="4"/>
  <c r="K36" i="4"/>
  <c r="J36" i="4"/>
  <c r="I36" i="4"/>
  <c r="D36" i="4"/>
  <c r="U36" i="4" s="1"/>
  <c r="M35" i="4"/>
  <c r="L35" i="4"/>
  <c r="K35" i="4"/>
  <c r="J35" i="4"/>
  <c r="I35" i="4"/>
  <c r="D35" i="4"/>
  <c r="U35" i="4" s="1"/>
  <c r="M34" i="4"/>
  <c r="L34" i="4"/>
  <c r="K34" i="4"/>
  <c r="J34" i="4"/>
  <c r="I34" i="4"/>
  <c r="D34" i="4"/>
  <c r="U34" i="4" s="1"/>
  <c r="M33" i="4"/>
  <c r="L33" i="4"/>
  <c r="K33" i="4"/>
  <c r="J33" i="4"/>
  <c r="I33" i="4"/>
  <c r="D33" i="4"/>
  <c r="U33" i="4" s="1"/>
  <c r="M32" i="4"/>
  <c r="L32" i="4"/>
  <c r="K32" i="4"/>
  <c r="J32" i="4"/>
  <c r="I32" i="4"/>
  <c r="D32" i="4"/>
  <c r="U32" i="4" s="1"/>
  <c r="M31" i="4"/>
  <c r="L31" i="4"/>
  <c r="K31" i="4"/>
  <c r="J31" i="4"/>
  <c r="I31" i="4"/>
  <c r="D31" i="4"/>
  <c r="U31" i="4" s="1"/>
  <c r="M30" i="4"/>
  <c r="L30" i="4"/>
  <c r="K30" i="4"/>
  <c r="J30" i="4"/>
  <c r="I30" i="4"/>
  <c r="D30" i="4"/>
  <c r="M29" i="4"/>
  <c r="L29" i="4"/>
  <c r="K29" i="4"/>
  <c r="J29" i="4"/>
  <c r="I29" i="4"/>
  <c r="D29" i="4"/>
  <c r="U29" i="4" s="1"/>
  <c r="M28" i="4"/>
  <c r="L28" i="4"/>
  <c r="K28" i="4"/>
  <c r="J28" i="4"/>
  <c r="I28" i="4"/>
  <c r="D28" i="4"/>
  <c r="U28" i="4" s="1"/>
  <c r="M27" i="4"/>
  <c r="L27" i="4"/>
  <c r="K27" i="4"/>
  <c r="J27" i="4"/>
  <c r="I27" i="4"/>
  <c r="D27" i="4"/>
  <c r="U27" i="4" s="1"/>
  <c r="M26" i="4"/>
  <c r="L26" i="4"/>
  <c r="K26" i="4"/>
  <c r="J26" i="4"/>
  <c r="I26" i="4"/>
  <c r="D26" i="4"/>
  <c r="U26" i="4" s="1"/>
  <c r="M25" i="4"/>
  <c r="L25" i="4"/>
  <c r="K25" i="4"/>
  <c r="J25" i="4"/>
  <c r="I25" i="4"/>
  <c r="D25" i="4"/>
  <c r="U25" i="4" s="1"/>
  <c r="M24" i="4"/>
  <c r="L24" i="4"/>
  <c r="K24" i="4"/>
  <c r="J24" i="4"/>
  <c r="I24" i="4"/>
  <c r="D24" i="4"/>
  <c r="U24" i="4" s="1"/>
  <c r="M23" i="4"/>
  <c r="L23" i="4"/>
  <c r="K23" i="4"/>
  <c r="J23" i="4"/>
  <c r="I23" i="4"/>
  <c r="D23" i="4"/>
  <c r="U23" i="4" s="1"/>
  <c r="M22" i="4"/>
  <c r="L22" i="4"/>
  <c r="K22" i="4"/>
  <c r="J22" i="4"/>
  <c r="I22" i="4"/>
  <c r="D22" i="4"/>
  <c r="M21" i="4"/>
  <c r="L21" i="4"/>
  <c r="K21" i="4"/>
  <c r="J21" i="4"/>
  <c r="I21" i="4"/>
  <c r="D21" i="4"/>
  <c r="U21" i="4" s="1"/>
  <c r="M20" i="4"/>
  <c r="L20" i="4"/>
  <c r="K20" i="4"/>
  <c r="J20" i="4"/>
  <c r="I20" i="4"/>
  <c r="D20" i="4"/>
  <c r="U20" i="4" s="1"/>
  <c r="M19" i="4"/>
  <c r="L19" i="4"/>
  <c r="K19" i="4"/>
  <c r="J19" i="4"/>
  <c r="I19" i="4"/>
  <c r="D19" i="4"/>
  <c r="U19" i="4" s="1"/>
  <c r="M18" i="4"/>
  <c r="L18" i="4"/>
  <c r="K18" i="4"/>
  <c r="J18" i="4"/>
  <c r="I18" i="4"/>
  <c r="D18" i="4"/>
  <c r="U18" i="4" s="1"/>
  <c r="M17" i="4"/>
  <c r="L17" i="4"/>
  <c r="K17" i="4"/>
  <c r="J17" i="4"/>
  <c r="I17" i="4"/>
  <c r="D17" i="4"/>
  <c r="U17" i="4" s="1"/>
  <c r="V17" i="4" s="1"/>
  <c r="M16" i="4"/>
  <c r="L16" i="4"/>
  <c r="K16" i="4"/>
  <c r="J16" i="4"/>
  <c r="I16" i="4"/>
  <c r="D16" i="4"/>
  <c r="U16" i="4" s="1"/>
  <c r="M15" i="4"/>
  <c r="L15" i="4"/>
  <c r="K15" i="4"/>
  <c r="J15" i="4"/>
  <c r="I15" i="4"/>
  <c r="D15" i="4"/>
  <c r="U15" i="4" s="1"/>
  <c r="M14" i="4"/>
  <c r="L14" i="4"/>
  <c r="K14" i="4"/>
  <c r="J14" i="4"/>
  <c r="I14" i="4"/>
  <c r="D14" i="4"/>
  <c r="M13" i="4"/>
  <c r="L13" i="4"/>
  <c r="K13" i="4"/>
  <c r="J13" i="4"/>
  <c r="I13" i="4"/>
  <c r="D13" i="4"/>
  <c r="U13" i="4" s="1"/>
  <c r="M12" i="4"/>
  <c r="L12" i="4"/>
  <c r="K12" i="4"/>
  <c r="J12" i="4"/>
  <c r="I12" i="4"/>
  <c r="D12" i="4"/>
  <c r="U12" i="4" s="1"/>
  <c r="M11" i="4"/>
  <c r="L11" i="4"/>
  <c r="K11" i="4"/>
  <c r="J11" i="4"/>
  <c r="I11" i="4"/>
  <c r="D11" i="4"/>
  <c r="U11" i="4" s="1"/>
  <c r="M10" i="4"/>
  <c r="L10" i="4"/>
  <c r="K10" i="4"/>
  <c r="J10" i="4"/>
  <c r="I10" i="4"/>
  <c r="D10" i="4"/>
  <c r="U10" i="4" s="1"/>
  <c r="M9" i="4"/>
  <c r="L9" i="4"/>
  <c r="K9" i="4"/>
  <c r="J9" i="4"/>
  <c r="I9" i="4"/>
  <c r="D9" i="4"/>
  <c r="U9" i="4" s="1"/>
  <c r="M8" i="4"/>
  <c r="L8" i="4"/>
  <c r="K8" i="4"/>
  <c r="J8" i="4"/>
  <c r="I8" i="4"/>
  <c r="D8" i="4"/>
  <c r="U8" i="4" s="1"/>
  <c r="M7" i="4"/>
  <c r="L7" i="4"/>
  <c r="K7" i="4"/>
  <c r="J7" i="4"/>
  <c r="I7" i="4"/>
  <c r="D7" i="4"/>
  <c r="U7" i="4" s="1"/>
  <c r="M6" i="4"/>
  <c r="L6" i="4"/>
  <c r="K6" i="4"/>
  <c r="J6" i="4"/>
  <c r="I6" i="4"/>
  <c r="D6" i="4"/>
  <c r="M5" i="4"/>
  <c r="L5" i="4"/>
  <c r="K5" i="4"/>
  <c r="J5" i="4"/>
  <c r="I5" i="4"/>
  <c r="D5" i="4"/>
  <c r="U5" i="4" s="1"/>
  <c r="M4" i="4"/>
  <c r="L4" i="4"/>
  <c r="K4" i="4"/>
  <c r="J4" i="4"/>
  <c r="I4" i="4"/>
  <c r="D4" i="4"/>
  <c r="U4" i="4" s="1"/>
  <c r="M3" i="4"/>
  <c r="L3" i="4"/>
  <c r="K3" i="4"/>
  <c r="J3" i="4"/>
  <c r="I3" i="4"/>
  <c r="D3" i="4"/>
  <c r="U3" i="4" s="1"/>
  <c r="G3" i="3"/>
  <c r="G4" i="3"/>
  <c r="G5" i="3"/>
  <c r="G6" i="3"/>
  <c r="G7" i="3"/>
  <c r="G8" i="3"/>
  <c r="G9" i="3"/>
  <c r="G10" i="3"/>
  <c r="C12" i="3"/>
  <c r="E3" i="1"/>
  <c r="E4" i="1"/>
  <c r="E5" i="1"/>
  <c r="E6" i="1"/>
  <c r="E7" i="1"/>
  <c r="E8" i="1"/>
  <c r="E9" i="1"/>
  <c r="E10" i="1"/>
  <c r="Z3" i="5" l="1"/>
  <c r="AD3" i="5" s="1"/>
  <c r="Z34" i="5"/>
  <c r="AD34" i="5" s="1"/>
  <c r="E50" i="6" a="1"/>
  <c r="E50" i="6" s="1"/>
  <c r="E42" i="6" a="1"/>
  <c r="E42" i="6" s="1"/>
  <c r="E26" i="6" a="1"/>
  <c r="E26" i="6" s="1"/>
  <c r="E10" i="6" a="1"/>
  <c r="E10" i="6" s="1"/>
  <c r="E49" i="6" a="1"/>
  <c r="E49" i="6" s="1"/>
  <c r="E41" i="6" a="1"/>
  <c r="E41" i="6" s="1"/>
  <c r="E33" i="6" a="1"/>
  <c r="E33" i="6" s="1"/>
  <c r="E17" i="6" a="1"/>
  <c r="E17" i="6" s="1"/>
  <c r="E9" i="6" a="1"/>
  <c r="E9" i="6" s="1"/>
  <c r="Z22" i="5"/>
  <c r="AD22" i="5" s="1"/>
  <c r="Z28" i="5"/>
  <c r="AD28" i="5" s="1"/>
  <c r="Z39" i="5"/>
  <c r="AD39" i="5" s="1"/>
  <c r="AF39" i="5" s="1"/>
  <c r="AG39" i="5" s="1"/>
  <c r="AH39" i="5" s="1"/>
  <c r="E48" i="6" a="1"/>
  <c r="E48" i="6" s="1"/>
  <c r="E40" i="6" a="1"/>
  <c r="E40" i="6" s="1"/>
  <c r="E32" i="6" a="1"/>
  <c r="E32" i="6" s="1"/>
  <c r="E24" i="6" a="1"/>
  <c r="E24" i="6" s="1"/>
  <c r="E16" i="6" a="1"/>
  <c r="E16" i="6" s="1"/>
  <c r="E8" i="6" a="1"/>
  <c r="E8" i="6" s="1"/>
  <c r="E47" i="6" a="1"/>
  <c r="E47" i="6" s="1"/>
  <c r="E39" i="6" a="1"/>
  <c r="E39" i="6" s="1"/>
  <c r="E23" i="6" a="1"/>
  <c r="E23" i="6" s="1"/>
  <c r="E15" i="6" a="1"/>
  <c r="E15" i="6" s="1"/>
  <c r="E7" i="6" a="1"/>
  <c r="E7" i="6" s="1"/>
  <c r="Z10" i="5"/>
  <c r="AA10" i="5" s="1"/>
  <c r="E46" i="6" a="1"/>
  <c r="E46" i="6" s="1"/>
  <c r="E38" i="6" a="1"/>
  <c r="E38" i="6" s="1"/>
  <c r="E30" i="6" a="1"/>
  <c r="E30" i="6" s="1"/>
  <c r="E22" i="6" a="1"/>
  <c r="E22" i="6" s="1"/>
  <c r="E14" i="6" a="1"/>
  <c r="E14" i="6" s="1"/>
  <c r="E6" i="6" a="1"/>
  <c r="E6" i="6" s="1"/>
  <c r="E45" i="6" a="1"/>
  <c r="E45" i="6" s="1"/>
  <c r="E37" i="6" a="1"/>
  <c r="E37" i="6" s="1"/>
  <c r="E29" i="6" a="1"/>
  <c r="E29" i="6" s="1"/>
  <c r="E21" i="6" a="1"/>
  <c r="E21" i="6" s="1"/>
  <c r="E13" i="6" a="1"/>
  <c r="E13" i="6" s="1"/>
  <c r="E5" i="6" a="1"/>
  <c r="E5" i="6" s="1"/>
  <c r="E44" i="6" a="1"/>
  <c r="E44" i="6" s="1"/>
  <c r="E36" i="6" a="1"/>
  <c r="E36" i="6" s="1"/>
  <c r="E28" i="6" a="1"/>
  <c r="E28" i="6" s="1"/>
  <c r="E20" i="6" a="1"/>
  <c r="E20" i="6" s="1"/>
  <c r="E12" i="6" a="1"/>
  <c r="E12" i="6" s="1"/>
  <c r="E4" i="6" a="1"/>
  <c r="E4" i="6" s="1"/>
  <c r="Z45" i="5"/>
  <c r="AD45" i="5" s="1"/>
  <c r="E43" i="6" a="1"/>
  <c r="E43" i="6" s="1"/>
  <c r="E35" i="6" a="1"/>
  <c r="E35" i="6" s="1"/>
  <c r="E27" i="6" a="1"/>
  <c r="E27" i="6" s="1"/>
  <c r="E19" i="6" a="1"/>
  <c r="E19" i="6" s="1"/>
  <c r="E11" i="6" a="1"/>
  <c r="E11" i="6" s="1"/>
  <c r="E3" i="6" a="1"/>
  <c r="E3" i="6" s="1"/>
  <c r="E31" i="6" a="1"/>
  <c r="E31" i="6" s="1"/>
  <c r="E18" i="6" a="1"/>
  <c r="E18" i="6" s="1"/>
  <c r="E34" i="6" a="1"/>
  <c r="E34" i="6" s="1"/>
  <c r="Z35" i="5"/>
  <c r="AA35" i="5" s="1"/>
  <c r="AB35" i="5" s="1"/>
  <c r="AC35" i="5" s="1"/>
  <c r="Z25" i="5"/>
  <c r="AA25" i="5" s="1"/>
  <c r="AB25" i="5" s="1"/>
  <c r="AC25" i="5" s="1"/>
  <c r="Z9" i="5"/>
  <c r="AD9" i="5" s="1"/>
  <c r="AE40" i="5"/>
  <c r="AE10" i="5"/>
  <c r="Z14" i="5"/>
  <c r="AA14" i="5" s="1"/>
  <c r="AB14" i="5" s="1"/>
  <c r="AC14" i="5" s="1"/>
  <c r="AE28" i="5"/>
  <c r="AE45" i="5"/>
  <c r="Z38" i="5"/>
  <c r="AA38" i="5" s="1"/>
  <c r="AB38" i="5" s="1"/>
  <c r="AC38" i="5" s="1"/>
  <c r="Z24" i="5"/>
  <c r="AA24" i="5" s="1"/>
  <c r="AB24" i="5" s="1"/>
  <c r="AC24" i="5" s="1"/>
  <c r="AE19" i="5"/>
  <c r="AE17" i="5"/>
  <c r="AE20" i="5"/>
  <c r="AE34" i="5"/>
  <c r="AE47" i="5"/>
  <c r="X20" i="5"/>
  <c r="Z20" i="5" s="1"/>
  <c r="X40" i="5"/>
  <c r="Z40" i="5" s="1"/>
  <c r="X8" i="5"/>
  <c r="AE8" i="5" s="1"/>
  <c r="AE11" i="5"/>
  <c r="AE43" i="5"/>
  <c r="AE13" i="5"/>
  <c r="AE29" i="5"/>
  <c r="AE30" i="5"/>
  <c r="AE4" i="5"/>
  <c r="AE6" i="5"/>
  <c r="AE24" i="5"/>
  <c r="AE12" i="5"/>
  <c r="AE14" i="5"/>
  <c r="AE5" i="5"/>
  <c r="AE21" i="5"/>
  <c r="AE35" i="5"/>
  <c r="X19" i="5"/>
  <c r="Z19" i="5" s="1"/>
  <c r="X46" i="5"/>
  <c r="AE46" i="5" s="1"/>
  <c r="X37" i="5"/>
  <c r="Z37" i="5" s="1"/>
  <c r="X32" i="5"/>
  <c r="AE32" i="5" s="1"/>
  <c r="AE9" i="5"/>
  <c r="AE7" i="5"/>
  <c r="AE39" i="5"/>
  <c r="AE38" i="5"/>
  <c r="AE49" i="5"/>
  <c r="AE50" i="5"/>
  <c r="X43" i="5"/>
  <c r="Z43" i="5" s="1"/>
  <c r="AA43" i="5" s="1"/>
  <c r="AB43" i="5" s="1"/>
  <c r="AC43" i="5" s="1"/>
  <c r="X18" i="5"/>
  <c r="Z18" i="5" s="1"/>
  <c r="X15" i="5"/>
  <c r="Z15" i="5" s="1"/>
  <c r="X11" i="5"/>
  <c r="Z11" i="5" s="1"/>
  <c r="X25" i="5"/>
  <c r="AE25" i="5" s="1"/>
  <c r="X23" i="5"/>
  <c r="AE23" i="5" s="1"/>
  <c r="Z31" i="5"/>
  <c r="AD31" i="5" s="1"/>
  <c r="Z44" i="5"/>
  <c r="AA44" i="5" s="1"/>
  <c r="AB44" i="5" s="1"/>
  <c r="AC44" i="5" s="1"/>
  <c r="Z26" i="5"/>
  <c r="AA26" i="5" s="1"/>
  <c r="AB26" i="5" s="1"/>
  <c r="AC26" i="5" s="1"/>
  <c r="Z27" i="5"/>
  <c r="AA27" i="5" s="1"/>
  <c r="AB27" i="5" s="1"/>
  <c r="AC27" i="5" s="1"/>
  <c r="Z16" i="5"/>
  <c r="AA16" i="5" s="1"/>
  <c r="AB16" i="5" s="1"/>
  <c r="AC16" i="5" s="1"/>
  <c r="Z36" i="5"/>
  <c r="AD36" i="5" s="1"/>
  <c r="Z41" i="5"/>
  <c r="AA41" i="5" s="1"/>
  <c r="AB41" i="5" s="1"/>
  <c r="AC41" i="5" s="1"/>
  <c r="Z42" i="5"/>
  <c r="AA42" i="5" s="1"/>
  <c r="AB42" i="5" s="1"/>
  <c r="AC42" i="5" s="1"/>
  <c r="Z33" i="5"/>
  <c r="AA33" i="5" s="1"/>
  <c r="AB33" i="5" s="1"/>
  <c r="AC33" i="5" s="1"/>
  <c r="AE16" i="5"/>
  <c r="AE31" i="5"/>
  <c r="AE42" i="5"/>
  <c r="AE44" i="5"/>
  <c r="AE26" i="5"/>
  <c r="AE36" i="5"/>
  <c r="AF36" i="5" s="1"/>
  <c r="AG36" i="5" s="1"/>
  <c r="AH36" i="5" s="1"/>
  <c r="AE41" i="5"/>
  <c r="AE33" i="5"/>
  <c r="AE27" i="5"/>
  <c r="AB50" i="5"/>
  <c r="AC50" i="5" s="1"/>
  <c r="AD50" i="5"/>
  <c r="AF50" i="5" s="1"/>
  <c r="AG50" i="5" s="1"/>
  <c r="AH50" i="5" s="1"/>
  <c r="AB10" i="5"/>
  <c r="AC10" i="5" s="1"/>
  <c r="AD49" i="5"/>
  <c r="AB48" i="5"/>
  <c r="AC48" i="5" s="1"/>
  <c r="AD48" i="5"/>
  <c r="AF48" i="5" s="1"/>
  <c r="AG48" i="5" s="1"/>
  <c r="AH48" i="5" s="1"/>
  <c r="AD47" i="5"/>
  <c r="AF47" i="5" s="1"/>
  <c r="AG47" i="5" s="1"/>
  <c r="AH47" i="5" s="1"/>
  <c r="AA45" i="5"/>
  <c r="AB45" i="5" s="1"/>
  <c r="AC45" i="5" s="1"/>
  <c r="AD38" i="5"/>
  <c r="AF38" i="5" s="1"/>
  <c r="AG38" i="5" s="1"/>
  <c r="AH38" i="5" s="1"/>
  <c r="AD44" i="5"/>
  <c r="AA34" i="5"/>
  <c r="AB34" i="5" s="1"/>
  <c r="AC34" i="5" s="1"/>
  <c r="AF34" i="5"/>
  <c r="AG34" i="5" s="1"/>
  <c r="AH34" i="5" s="1"/>
  <c r="AA36" i="5"/>
  <c r="AB36" i="5" s="1"/>
  <c r="AC36" i="5" s="1"/>
  <c r="AA28" i="5"/>
  <c r="AB28" i="5" s="1"/>
  <c r="AC28" i="5" s="1"/>
  <c r="AF28" i="5"/>
  <c r="AG28" i="5" s="1"/>
  <c r="AH28" i="5" s="1"/>
  <c r="AB30" i="5"/>
  <c r="AC30" i="5" s="1"/>
  <c r="AD30" i="5"/>
  <c r="AF30" i="5" s="1"/>
  <c r="AG30" i="5" s="1"/>
  <c r="AH30" i="5" s="1"/>
  <c r="AF31" i="5"/>
  <c r="AG31" i="5" s="1"/>
  <c r="AH31" i="5" s="1"/>
  <c r="AD27" i="5"/>
  <c r="AF27" i="5" s="1"/>
  <c r="AG27" i="5" s="1"/>
  <c r="AH27" i="5" s="1"/>
  <c r="AB29" i="5"/>
  <c r="AC29" i="5" s="1"/>
  <c r="AD29" i="5"/>
  <c r="AF29" i="5" s="1"/>
  <c r="AG29" i="5" s="1"/>
  <c r="AH29" i="5" s="1"/>
  <c r="AB7" i="5"/>
  <c r="AC7" i="5" s="1"/>
  <c r="AD7" i="5"/>
  <c r="AF7" i="5" s="1"/>
  <c r="AG7" i="5" s="1"/>
  <c r="AH7" i="5" s="1"/>
  <c r="AB21" i="5"/>
  <c r="AC21" i="5" s="1"/>
  <c r="AD21" i="5"/>
  <c r="AF21" i="5" s="1"/>
  <c r="AG21" i="5" s="1"/>
  <c r="AH21" i="5" s="1"/>
  <c r="AB17" i="5"/>
  <c r="AC17" i="5" s="1"/>
  <c r="AD17" i="5"/>
  <c r="AF17" i="5" s="1"/>
  <c r="AG17" i="5" s="1"/>
  <c r="AH17" i="5" s="1"/>
  <c r="AB13" i="5"/>
  <c r="AC13" i="5" s="1"/>
  <c r="AD13" i="5"/>
  <c r="AD10" i="5"/>
  <c r="AD5" i="5"/>
  <c r="AD12" i="5"/>
  <c r="AD24" i="5"/>
  <c r="AF24" i="5" s="1"/>
  <c r="AG24" i="5" s="1"/>
  <c r="AH24" i="5" s="1"/>
  <c r="AA22" i="5"/>
  <c r="AB22" i="5" s="1"/>
  <c r="AC22" i="5" s="1"/>
  <c r="AD6" i="5"/>
  <c r="AF6" i="5" s="1"/>
  <c r="AG6" i="5" s="1"/>
  <c r="AH6" i="5" s="1"/>
  <c r="AA4" i="5"/>
  <c r="AB4" i="5" s="1"/>
  <c r="AC4" i="5" s="1"/>
  <c r="AF4" i="5"/>
  <c r="AG4" i="5" s="1"/>
  <c r="AH4" i="5" s="1"/>
  <c r="AE22" i="5"/>
  <c r="AF22" i="5" s="1"/>
  <c r="AG22" i="5" s="1"/>
  <c r="AH22" i="5" s="1"/>
  <c r="AA3" i="5"/>
  <c r="AB3" i="5" s="1"/>
  <c r="AC3" i="5" s="1"/>
  <c r="AE3" i="5"/>
  <c r="AF3" i="5" s="1"/>
  <c r="AG3" i="5" s="1"/>
  <c r="AH3" i="5" s="1"/>
  <c r="V5" i="4"/>
  <c r="T51" i="4"/>
  <c r="V51" i="4" s="1"/>
  <c r="T36" i="4"/>
  <c r="V36" i="4" s="1"/>
  <c r="R14" i="4"/>
  <c r="R22" i="4"/>
  <c r="R38" i="4"/>
  <c r="T28" i="4"/>
  <c r="R6" i="4"/>
  <c r="T12" i="4"/>
  <c r="T75" i="4"/>
  <c r="V75" i="4" s="1"/>
  <c r="R46" i="4"/>
  <c r="T67" i="4"/>
  <c r="T59" i="4"/>
  <c r="R30" i="4"/>
  <c r="W75" i="4"/>
  <c r="W51" i="4"/>
  <c r="W69" i="4"/>
  <c r="W5" i="4"/>
  <c r="W36" i="4"/>
  <c r="T13" i="4"/>
  <c r="T74" i="4"/>
  <c r="T66" i="4"/>
  <c r="T53" i="4"/>
  <c r="T35" i="4"/>
  <c r="T73" i="4"/>
  <c r="T52" i="4"/>
  <c r="T29" i="4"/>
  <c r="T11" i="4"/>
  <c r="T72" i="4"/>
  <c r="T64" i="4"/>
  <c r="T71" i="4"/>
  <c r="T63" i="4"/>
  <c r="V63" i="4" s="1"/>
  <c r="W63" i="4" s="1"/>
  <c r="T45" i="4"/>
  <c r="T27" i="4"/>
  <c r="T4" i="4"/>
  <c r="T70" i="4"/>
  <c r="T62" i="4"/>
  <c r="T44" i="4"/>
  <c r="V44" i="4" s="1"/>
  <c r="W44" i="4" s="1"/>
  <c r="T21" i="4"/>
  <c r="T3" i="4"/>
  <c r="U46" i="4"/>
  <c r="U38" i="4"/>
  <c r="U30" i="4"/>
  <c r="U22" i="4"/>
  <c r="U14" i="4"/>
  <c r="U6" i="4"/>
  <c r="W18" i="4"/>
  <c r="T77" i="4"/>
  <c r="T61" i="4"/>
  <c r="T43" i="4"/>
  <c r="T20" i="4"/>
  <c r="W65" i="4"/>
  <c r="W17" i="4"/>
  <c r="T76" i="4"/>
  <c r="T68" i="4"/>
  <c r="T60" i="4"/>
  <c r="T37" i="4"/>
  <c r="T19" i="4"/>
  <c r="V19" i="4" s="1"/>
  <c r="T58" i="4"/>
  <c r="T50" i="4"/>
  <c r="T42" i="4"/>
  <c r="T34" i="4"/>
  <c r="T26" i="4"/>
  <c r="T10" i="4"/>
  <c r="T57" i="4"/>
  <c r="T49" i="4"/>
  <c r="T41" i="4"/>
  <c r="T33" i="4"/>
  <c r="T25" i="4"/>
  <c r="T9" i="4"/>
  <c r="T56" i="4"/>
  <c r="T48" i="4"/>
  <c r="T40" i="4"/>
  <c r="T32" i="4"/>
  <c r="T24" i="4"/>
  <c r="T16" i="4"/>
  <c r="T8" i="4"/>
  <c r="T55" i="4"/>
  <c r="T47" i="4"/>
  <c r="T39" i="4"/>
  <c r="T31" i="4"/>
  <c r="T23" i="4"/>
  <c r="T15" i="4"/>
  <c r="T7" i="4"/>
  <c r="T54" i="4"/>
  <c r="T46" i="4"/>
  <c r="T38" i="4"/>
  <c r="V38" i="4" s="1"/>
  <c r="T30" i="4"/>
  <c r="V30" i="4" s="1"/>
  <c r="T22" i="4"/>
  <c r="V22" i="4" s="1"/>
  <c r="T14" i="4"/>
  <c r="T6" i="4"/>
  <c r="R70" i="4"/>
  <c r="R62" i="4"/>
  <c r="Q18" i="4"/>
  <c r="R18" i="4" s="1"/>
  <c r="R71" i="4"/>
  <c r="R63" i="4"/>
  <c r="R55" i="4"/>
  <c r="R47" i="4"/>
  <c r="R39" i="4"/>
  <c r="R31" i="4"/>
  <c r="R23" i="4"/>
  <c r="R77" i="4"/>
  <c r="R75" i="4"/>
  <c r="R67" i="4"/>
  <c r="R59" i="4"/>
  <c r="R51" i="4"/>
  <c r="R26" i="4"/>
  <c r="Q69" i="4"/>
  <c r="R69" i="4" s="1"/>
  <c r="R73" i="4"/>
  <c r="R57" i="4"/>
  <c r="R49" i="4"/>
  <c r="R41" i="4"/>
  <c r="R9" i="4"/>
  <c r="R50" i="4"/>
  <c r="R25" i="4"/>
  <c r="R33" i="4"/>
  <c r="R42" i="4"/>
  <c r="R72" i="4"/>
  <c r="R64" i="4"/>
  <c r="R56" i="4"/>
  <c r="R48" i="4"/>
  <c r="R40" i="4"/>
  <c r="R32" i="4"/>
  <c r="R24" i="4"/>
  <c r="R16" i="4"/>
  <c r="R8" i="4"/>
  <c r="Q65" i="4"/>
  <c r="R65" i="4" s="1"/>
  <c r="Q17" i="4"/>
  <c r="R17" i="4" s="1"/>
  <c r="R15" i="4"/>
  <c r="R7" i="4"/>
  <c r="R58" i="4"/>
  <c r="R54" i="4"/>
  <c r="Q5" i="4"/>
  <c r="R5" i="4" s="1"/>
  <c r="R61" i="4"/>
  <c r="R53" i="4"/>
  <c r="R45" i="4"/>
  <c r="R37" i="4"/>
  <c r="R29" i="4"/>
  <c r="R21" i="4"/>
  <c r="R13" i="4"/>
  <c r="R76" i="4"/>
  <c r="R68" i="4"/>
  <c r="R60" i="4"/>
  <c r="R52" i="4"/>
  <c r="R44" i="4"/>
  <c r="R36" i="4"/>
  <c r="R28" i="4"/>
  <c r="R20" i="4"/>
  <c r="R12" i="4"/>
  <c r="R4" i="4"/>
  <c r="R43" i="4"/>
  <c r="R35" i="4"/>
  <c r="R27" i="4"/>
  <c r="R19" i="4"/>
  <c r="R11" i="4"/>
  <c r="R3" i="4"/>
  <c r="R74" i="4"/>
  <c r="R66" i="4"/>
  <c r="R34" i="4"/>
  <c r="R10" i="4"/>
  <c r="W19" i="4"/>
  <c r="AD20" i="5" l="1"/>
  <c r="AF20" i="5" s="1"/>
  <c r="AG20" i="5" s="1"/>
  <c r="AH20" i="5" s="1"/>
  <c r="AA20" i="5"/>
  <c r="AB20" i="5" s="1"/>
  <c r="AC20" i="5" s="1"/>
  <c r="AD25" i="5"/>
  <c r="AF25" i="5" s="1"/>
  <c r="AG25" i="5" s="1"/>
  <c r="AH25" i="5" s="1"/>
  <c r="AD33" i="5"/>
  <c r="AD35" i="5"/>
  <c r="AF35" i="5" s="1"/>
  <c r="AG35" i="5" s="1"/>
  <c r="AH35" i="5" s="1"/>
  <c r="AE37" i="5"/>
  <c r="Z23" i="5"/>
  <c r="AA23" i="5" s="1"/>
  <c r="AB23" i="5" s="1"/>
  <c r="AC23" i="5" s="1"/>
  <c r="AF10" i="5"/>
  <c r="AG10" i="5" s="1"/>
  <c r="AH10" i="5" s="1"/>
  <c r="AF45" i="5"/>
  <c r="AG45" i="5" s="1"/>
  <c r="AH45" i="5" s="1"/>
  <c r="AD14" i="5"/>
  <c r="AD16" i="5"/>
  <c r="AF16" i="5" s="1"/>
  <c r="AG16" i="5" s="1"/>
  <c r="AH16" i="5" s="1"/>
  <c r="AF9" i="5"/>
  <c r="AG9" i="5" s="1"/>
  <c r="AH9" i="5" s="1"/>
  <c r="AA39" i="5"/>
  <c r="AB39" i="5" s="1"/>
  <c r="AC39" i="5" s="1"/>
  <c r="Z46" i="5"/>
  <c r="AD37" i="5"/>
  <c r="AF37" i="5" s="1"/>
  <c r="AG37" i="5" s="1"/>
  <c r="AH37" i="5" s="1"/>
  <c r="AA37" i="5"/>
  <c r="AB37" i="5" s="1"/>
  <c r="AC37" i="5" s="1"/>
  <c r="AA40" i="5"/>
  <c r="AB40" i="5" s="1"/>
  <c r="AC40" i="5" s="1"/>
  <c r="AD40" i="5"/>
  <c r="AF40" i="5" s="1"/>
  <c r="AG40" i="5" s="1"/>
  <c r="AH40" i="5" s="1"/>
  <c r="AA11" i="5"/>
  <c r="AB11" i="5" s="1"/>
  <c r="AC11" i="5" s="1"/>
  <c r="AD11" i="5"/>
  <c r="AF11" i="5" s="1"/>
  <c r="AG11" i="5" s="1"/>
  <c r="AH11" i="5" s="1"/>
  <c r="AA15" i="5"/>
  <c r="AB15" i="5" s="1"/>
  <c r="AC15" i="5" s="1"/>
  <c r="AD15" i="5"/>
  <c r="AF15" i="5" s="1"/>
  <c r="AG15" i="5" s="1"/>
  <c r="AH15" i="5" s="1"/>
  <c r="AA19" i="5"/>
  <c r="AB19" i="5" s="1"/>
  <c r="AC19" i="5" s="1"/>
  <c r="AD19" i="5"/>
  <c r="AF19" i="5" s="1"/>
  <c r="AG19" i="5" s="1"/>
  <c r="AH19" i="5" s="1"/>
  <c r="AA18" i="5"/>
  <c r="AB18" i="5" s="1"/>
  <c r="AC18" i="5" s="1"/>
  <c r="AD18" i="5"/>
  <c r="AF12" i="5"/>
  <c r="AG12" i="5" s="1"/>
  <c r="AH12" i="5" s="1"/>
  <c r="AA31" i="5"/>
  <c r="AB31" i="5" s="1"/>
  <c r="AC31" i="5" s="1"/>
  <c r="AE15" i="5"/>
  <c r="Z32" i="5"/>
  <c r="AD26" i="5"/>
  <c r="AF26" i="5" s="1"/>
  <c r="AG26" i="5" s="1"/>
  <c r="AH26" i="5" s="1"/>
  <c r="Z8" i="5"/>
  <c r="AF5" i="5"/>
  <c r="AG5" i="5" s="1"/>
  <c r="AH5" i="5" s="1"/>
  <c r="AD23" i="5"/>
  <c r="AF23" i="5" s="1"/>
  <c r="AG23" i="5" s="1"/>
  <c r="AH23" i="5" s="1"/>
  <c r="AD43" i="5"/>
  <c r="AF43" i="5" s="1"/>
  <c r="AG43" i="5" s="1"/>
  <c r="AH43" i="5" s="1"/>
  <c r="AF44" i="5"/>
  <c r="AG44" i="5" s="1"/>
  <c r="AH44" i="5" s="1"/>
  <c r="AE18" i="5"/>
  <c r="AF14" i="5"/>
  <c r="AG14" i="5" s="1"/>
  <c r="AH14" i="5" s="1"/>
  <c r="AF13" i="5"/>
  <c r="AG13" i="5" s="1"/>
  <c r="AH13" i="5" s="1"/>
  <c r="AA9" i="5"/>
  <c r="AB9" i="5" s="1"/>
  <c r="AC9" i="5" s="1"/>
  <c r="AF49" i="5"/>
  <c r="AG49" i="5" s="1"/>
  <c r="AH49" i="5" s="1"/>
  <c r="AD42" i="5"/>
  <c r="AF42" i="5" s="1"/>
  <c r="AG42" i="5" s="1"/>
  <c r="AH42" i="5" s="1"/>
  <c r="AD41" i="5"/>
  <c r="AF41" i="5" s="1"/>
  <c r="AG41" i="5" s="1"/>
  <c r="AH41" i="5" s="1"/>
  <c r="AF33" i="5"/>
  <c r="AG33" i="5" s="1"/>
  <c r="AH33" i="5" s="1"/>
  <c r="V14" i="4"/>
  <c r="V37" i="4"/>
  <c r="W37" i="4" s="1"/>
  <c r="V39" i="4"/>
  <c r="W39" i="4" s="1"/>
  <c r="V60" i="4"/>
  <c r="W60" i="4" s="1"/>
  <c r="V35" i="4"/>
  <c r="W35" i="4" s="1"/>
  <c r="V68" i="4"/>
  <c r="W68" i="4" s="1"/>
  <c r="V53" i="4"/>
  <c r="W53" i="4" s="1"/>
  <c r="V46" i="4"/>
  <c r="W46" i="4" s="1"/>
  <c r="V55" i="4"/>
  <c r="W55" i="4" s="1"/>
  <c r="V9" i="4"/>
  <c r="W9" i="4" s="1"/>
  <c r="V34" i="4"/>
  <c r="W34" i="4" s="1"/>
  <c r="V76" i="4"/>
  <c r="W76" i="4" s="1"/>
  <c r="V64" i="4"/>
  <c r="W64" i="4" s="1"/>
  <c r="V66" i="4"/>
  <c r="W66" i="4" s="1"/>
  <c r="V40" i="4"/>
  <c r="W40" i="4" s="1"/>
  <c r="V61" i="4"/>
  <c r="W61" i="4" s="1"/>
  <c r="V73" i="4"/>
  <c r="W73" i="4" s="1"/>
  <c r="V12" i="4"/>
  <c r="W12" i="4" s="1"/>
  <c r="V26" i="4"/>
  <c r="W26" i="4" s="1"/>
  <c r="V71" i="4"/>
  <c r="W71" i="4" s="1"/>
  <c r="V54" i="4"/>
  <c r="W54" i="4" s="1"/>
  <c r="V8" i="4"/>
  <c r="W8" i="4" s="1"/>
  <c r="V25" i="4"/>
  <c r="W25" i="4" s="1"/>
  <c r="V42" i="4"/>
  <c r="W42" i="4" s="1"/>
  <c r="V62" i="4"/>
  <c r="W62" i="4" s="1"/>
  <c r="V72" i="4"/>
  <c r="W72" i="4" s="1"/>
  <c r="V74" i="4"/>
  <c r="W74" i="4" s="1"/>
  <c r="V59" i="4"/>
  <c r="W59" i="4" s="1"/>
  <c r="V31" i="4"/>
  <c r="W31" i="4" s="1"/>
  <c r="V57" i="4"/>
  <c r="W57" i="4" s="1"/>
  <c r="V45" i="4"/>
  <c r="W45" i="4" s="1"/>
  <c r="V77" i="4"/>
  <c r="W77" i="4" s="1"/>
  <c r="V7" i="4"/>
  <c r="W7" i="4" s="1"/>
  <c r="V16" i="4"/>
  <c r="W16" i="4" s="1"/>
  <c r="V33" i="4"/>
  <c r="W33" i="4" s="1"/>
  <c r="V50" i="4"/>
  <c r="W50" i="4" s="1"/>
  <c r="V70" i="4"/>
  <c r="W70" i="4" s="1"/>
  <c r="V11" i="4"/>
  <c r="W11" i="4" s="1"/>
  <c r="V13" i="4"/>
  <c r="W13" i="4" s="1"/>
  <c r="V67" i="4"/>
  <c r="W67" i="4" s="1"/>
  <c r="V48" i="4"/>
  <c r="W48" i="4" s="1"/>
  <c r="V47" i="4"/>
  <c r="W47" i="4" s="1"/>
  <c r="V21" i="4"/>
  <c r="W21" i="4" s="1"/>
  <c r="V28" i="4"/>
  <c r="W28" i="4" s="1"/>
  <c r="V6" i="4"/>
  <c r="W6" i="4" s="1"/>
  <c r="V15" i="4"/>
  <c r="W15" i="4" s="1"/>
  <c r="V24" i="4"/>
  <c r="W24" i="4" s="1"/>
  <c r="V41" i="4"/>
  <c r="W41" i="4" s="1"/>
  <c r="W58" i="4"/>
  <c r="V58" i="4"/>
  <c r="V20" i="4"/>
  <c r="W20" i="4" s="1"/>
  <c r="V4" i="4"/>
  <c r="W4" i="4" s="1"/>
  <c r="V29" i="4"/>
  <c r="W29" i="4" s="1"/>
  <c r="V10" i="4"/>
  <c r="W10" i="4" s="1"/>
  <c r="V3" i="4"/>
  <c r="W3" i="4" s="1"/>
  <c r="V56" i="4"/>
  <c r="W56" i="4" s="1"/>
  <c r="V23" i="4"/>
  <c r="W23" i="4" s="1"/>
  <c r="V32" i="4"/>
  <c r="W32" i="4" s="1"/>
  <c r="V49" i="4"/>
  <c r="W49" i="4" s="1"/>
  <c r="V43" i="4"/>
  <c r="W43" i="4" s="1"/>
  <c r="V27" i="4"/>
  <c r="W27" i="4" s="1"/>
  <c r="V52" i="4"/>
  <c r="W52" i="4" s="1"/>
  <c r="W14" i="4"/>
  <c r="W22" i="4"/>
  <c r="W38" i="4"/>
  <c r="W30" i="4"/>
  <c r="AA46" i="5" l="1"/>
  <c r="AB46" i="5" s="1"/>
  <c r="AC46" i="5" s="1"/>
  <c r="AD46" i="5"/>
  <c r="AF46" i="5" s="1"/>
  <c r="AG46" i="5" s="1"/>
  <c r="AH46" i="5" s="1"/>
  <c r="AF18" i="5"/>
  <c r="AG18" i="5" s="1"/>
  <c r="AH18" i="5" s="1"/>
  <c r="AA32" i="5"/>
  <c r="AB32" i="5" s="1"/>
  <c r="AC32" i="5" s="1"/>
  <c r="AD32" i="5"/>
  <c r="AF32" i="5" s="1"/>
  <c r="AG32" i="5" s="1"/>
  <c r="AH32" i="5" s="1"/>
  <c r="AD8" i="5"/>
  <c r="AF8" i="5" s="1"/>
  <c r="AG8" i="5" s="1"/>
  <c r="AH8" i="5" s="1"/>
  <c r="AA8" i="5"/>
  <c r="AB8" i="5" s="1"/>
  <c r="AC8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<sst xmlns="http://schemas.openxmlformats.org/spreadsheetml/2006/main" count="622" uniqueCount="217">
  <si>
    <t>Field Generators</t>
  </si>
  <si>
    <t>LV</t>
  </si>
  <si>
    <t>MV</t>
  </si>
  <si>
    <t>HV</t>
  </si>
  <si>
    <t>EV</t>
  </si>
  <si>
    <t>IV</t>
  </si>
  <si>
    <t>LuV</t>
  </si>
  <si>
    <t>UV</t>
  </si>
  <si>
    <t>ZPM</t>
  </si>
  <si>
    <t>Manganese phosphide</t>
  </si>
  <si>
    <t>Magnesium diboride</t>
  </si>
  <si>
    <t>Mercury barium calcium cuprate</t>
  </si>
  <si>
    <t>Uranium triplatinum</t>
  </si>
  <si>
    <t>Samarium iron arsenic oxide</t>
  </si>
  <si>
    <t>Indium Tin Barium Titatnium Cuprate</t>
  </si>
  <si>
    <t>Niobium-Titanium</t>
  </si>
  <si>
    <t>Special Cable</t>
  </si>
  <si>
    <t>Special Wire</t>
  </si>
  <si>
    <t>Uranium Rhodium Dinaquadide</t>
  </si>
  <si>
    <t>Vanadium-Gallium</t>
  </si>
  <si>
    <t>Enriched Naquadah Trinium Europium Duranide</t>
  </si>
  <si>
    <t>Yttrium Barium Cuprate</t>
  </si>
  <si>
    <t>Special dust</t>
  </si>
  <si>
    <t>Recipe</t>
  </si>
  <si>
    <t>Base voltage</t>
  </si>
  <si>
    <t>Base EU/T</t>
  </si>
  <si>
    <t>Base Temperature / K</t>
  </si>
  <si>
    <t>Liquid OC</t>
  </si>
  <si>
    <t>Ruthenium Trinium Americium Neutronate</t>
  </si>
  <si>
    <t>Neon</t>
  </si>
  <si>
    <t>Base coils</t>
  </si>
  <si>
    <t>Enderium</t>
  </si>
  <si>
    <t>Base duration / s</t>
  </si>
  <si>
    <t>Liquid OC multiplier</t>
  </si>
  <si>
    <t>Taranium</t>
  </si>
  <si>
    <t>Europium</t>
  </si>
  <si>
    <t>Helium</t>
  </si>
  <si>
    <t>Black Steel</t>
  </si>
  <si>
    <t>Quantum Fluxed Eternium Heavy Plating</t>
  </si>
  <si>
    <t>Energetic Alloy</t>
  </si>
  <si>
    <t>Nitrogen</t>
  </si>
  <si>
    <t>Aluminium</t>
  </si>
  <si>
    <t>Nickel Zinc Ferrite</t>
  </si>
  <si>
    <t>Mana Infused Ingot</t>
  </si>
  <si>
    <t>Vibrant Alloy</t>
  </si>
  <si>
    <t>Naquadah</t>
  </si>
  <si>
    <t>Argon</t>
  </si>
  <si>
    <t>Enriched Naquadah</t>
  </si>
  <si>
    <t>Microversium</t>
  </si>
  <si>
    <t>Naquadria</t>
  </si>
  <si>
    <t>Niobium</t>
  </si>
  <si>
    <t>Palladium</t>
  </si>
  <si>
    <t>Ruthenium</t>
  </si>
  <si>
    <t>Osmiridium</t>
  </si>
  <si>
    <t>Kanthal</t>
  </si>
  <si>
    <t>Sterling Silver</t>
  </si>
  <si>
    <t>Rose Gold</t>
  </si>
  <si>
    <t>Black Bronze</t>
  </si>
  <si>
    <t>Bismuth Bronze</t>
  </si>
  <si>
    <t>Magnesium Diboride</t>
  </si>
  <si>
    <t>Red Steel</t>
  </si>
  <si>
    <t>Blue Steel</t>
  </si>
  <si>
    <t>HSLA Steel</t>
  </si>
  <si>
    <t>Uranium Triplatinum</t>
  </si>
  <si>
    <t>Tungstensteel</t>
  </si>
  <si>
    <t>Indium Tin Barium Titanium Cuprate</t>
  </si>
  <si>
    <t>Osmium</t>
  </si>
  <si>
    <t>Naquadah Alloy</t>
  </si>
  <si>
    <t>Manganese Phosphide</t>
  </si>
  <si>
    <t>Stainless Steel</t>
  </si>
  <si>
    <t>Iridium</t>
  </si>
  <si>
    <t>Trinium</t>
  </si>
  <si>
    <t>Titanium</t>
  </si>
  <si>
    <t>Gallium Arsenide</t>
  </si>
  <si>
    <t>Rhodium</t>
  </si>
  <si>
    <t>Tantalum Carbide</t>
  </si>
  <si>
    <t>Trinaquadalloy</t>
  </si>
  <si>
    <t>Ultimet</t>
  </si>
  <si>
    <t>Nichrome</t>
  </si>
  <si>
    <t>HSS-G</t>
  </si>
  <si>
    <t>Engraved Crystal Chip</t>
  </si>
  <si>
    <t>Dark Soularium</t>
  </si>
  <si>
    <t>Tungsten</t>
  </si>
  <si>
    <t>HSS-E</t>
  </si>
  <si>
    <t>Vanadium</t>
  </si>
  <si>
    <t>Niobium-titanium</t>
  </si>
  <si>
    <t>Tungstencarbide</t>
  </si>
  <si>
    <t>Mercury Barium Calcium Cuprate</t>
  </si>
  <si>
    <t>Samarium</t>
  </si>
  <si>
    <t>Samarium Iron Arsenic Oxide</t>
  </si>
  <si>
    <t>HSS-S</t>
  </si>
  <si>
    <t>Vanadiumsteel</t>
  </si>
  <si>
    <t>Ruridit</t>
  </si>
  <si>
    <t>Damascus Steel</t>
  </si>
  <si>
    <t>Chrome</t>
  </si>
  <si>
    <t>Niobium Nitride</t>
  </si>
  <si>
    <t>Neodymium</t>
  </si>
  <si>
    <t>Fluxed Electrum</t>
  </si>
  <si>
    <t>Yttrium</t>
  </si>
  <si>
    <t>Signalum</t>
  </si>
  <si>
    <t>Lumium</t>
  </si>
  <si>
    <t>Draconium</t>
  </si>
  <si>
    <t>Kypton</t>
  </si>
  <si>
    <t>Naquadah-doped monocrystalline silicon boule</t>
  </si>
  <si>
    <t>Neutronium-doped monocrystalline silicon boule</t>
  </si>
  <si>
    <t>Coil</t>
  </si>
  <si>
    <t>Temperature / K</t>
  </si>
  <si>
    <t>Cupronickel</t>
  </si>
  <si>
    <t>Tritanium</t>
  </si>
  <si>
    <t>Voltage tier</t>
  </si>
  <si>
    <t>Voltage / V</t>
  </si>
  <si>
    <t>Voltage</t>
  </si>
  <si>
    <t>OC 1</t>
  </si>
  <si>
    <t>OC 2</t>
  </si>
  <si>
    <t>OC 3</t>
  </si>
  <si>
    <t>OC 4</t>
  </si>
  <si>
    <t>OC 5</t>
  </si>
  <si>
    <t>Coils</t>
  </si>
  <si>
    <t>Energy hatch</t>
  </si>
  <si>
    <t>Heat capacity / K</t>
  </si>
  <si>
    <t>Energy discount</t>
  </si>
  <si>
    <t>EU/t</t>
  </si>
  <si>
    <t xml:space="preserve">Coil overclock </t>
  </si>
  <si>
    <t>Energy overclock</t>
  </si>
  <si>
    <t>Total OC</t>
  </si>
  <si>
    <t>Net duration / s</t>
  </si>
  <si>
    <t>RF/t</t>
  </si>
  <si>
    <t>Red alloy</t>
  </si>
  <si>
    <t>Ing1</t>
  </si>
  <si>
    <t>Ing2</t>
  </si>
  <si>
    <t>Ing3</t>
  </si>
  <si>
    <t>Ing4</t>
  </si>
  <si>
    <t>Ing5</t>
  </si>
  <si>
    <t>Ing6</t>
  </si>
  <si>
    <t>Redstone</t>
  </si>
  <si>
    <t>Yield / L</t>
  </si>
  <si>
    <t>Yield / ingots</t>
  </si>
  <si>
    <t>Tough alloy</t>
  </si>
  <si>
    <t>Phosphorus</t>
  </si>
  <si>
    <t xml:space="preserve">Copper </t>
  </si>
  <si>
    <t xml:space="preserve">Steel </t>
  </si>
  <si>
    <t xml:space="preserve">Boron </t>
  </si>
  <si>
    <t xml:space="preserve">Lithium </t>
  </si>
  <si>
    <t xml:space="preserve">Manganese </t>
  </si>
  <si>
    <t>Vibrant alloy</t>
  </si>
  <si>
    <t>Energetic alloy</t>
  </si>
  <si>
    <t>Ender pearl</t>
  </si>
  <si>
    <t>Gold</t>
  </si>
  <si>
    <t>Glowstone</t>
  </si>
  <si>
    <t>Time per ingot</t>
  </si>
  <si>
    <t>Titanium carbide</t>
  </si>
  <si>
    <t>Carbon</t>
  </si>
  <si>
    <t>Circuit</t>
  </si>
  <si>
    <t>Gallium arsenide</t>
  </si>
  <si>
    <t>Gallium</t>
  </si>
  <si>
    <t>Arsenic</t>
  </si>
  <si>
    <t>Molybednum Disilicide</t>
  </si>
  <si>
    <t>Molybedum</t>
  </si>
  <si>
    <t>Silicon</t>
  </si>
  <si>
    <t>Tantalum carbide</t>
  </si>
  <si>
    <t>Tantalum</t>
  </si>
  <si>
    <t>Iron</t>
  </si>
  <si>
    <t>Magnesium</t>
  </si>
  <si>
    <t>Boron</t>
  </si>
  <si>
    <t>Titanium Tungsten Carbide</t>
  </si>
  <si>
    <t>Uranium</t>
  </si>
  <si>
    <t>Platinum</t>
  </si>
  <si>
    <t>Copper</t>
  </si>
  <si>
    <t>Silver</t>
  </si>
  <si>
    <t>Nickel</t>
  </si>
  <si>
    <t>Steel</t>
  </si>
  <si>
    <t>Black bronze</t>
  </si>
  <si>
    <t>Void crystal</t>
  </si>
  <si>
    <t>Red coal</t>
  </si>
  <si>
    <t>Naquadah alloy</t>
  </si>
  <si>
    <t>Rhodium plated Lumium-Palladium</t>
  </si>
  <si>
    <t>Invar</t>
  </si>
  <si>
    <t>Molybdenum</t>
  </si>
  <si>
    <t>Brass</t>
  </si>
  <si>
    <t>Manganese</t>
  </si>
  <si>
    <t>Duranium</t>
  </si>
  <si>
    <t>GCYM Stellite-100</t>
  </si>
  <si>
    <t>GCYM Incoloy-MA956</t>
  </si>
  <si>
    <t>Cobalt</t>
  </si>
  <si>
    <t>Electrum</t>
  </si>
  <si>
    <t>Mana Dust</t>
  </si>
  <si>
    <t>Annealed copper</t>
  </si>
  <si>
    <t>Ardite</t>
  </si>
  <si>
    <t>Red Alloy</t>
  </si>
  <si>
    <t>Destabilized Clathrate</t>
  </si>
  <si>
    <t>Tin Alloy</t>
  </si>
  <si>
    <t>Luminessence</t>
  </si>
  <si>
    <t>Energized Clathrate</t>
  </si>
  <si>
    <t>GCYM Watertight Steel</t>
  </si>
  <si>
    <t>Sulfur</t>
  </si>
  <si>
    <t>GCYM Zeron-100</t>
  </si>
  <si>
    <t>GCYM Maraging Steel 300</t>
  </si>
  <si>
    <t>Lead</t>
  </si>
  <si>
    <t>Resonant Clathrate</t>
  </si>
  <si>
    <t>GCYM Hastelloy-X</t>
  </si>
  <si>
    <t>GCYM Hastelloy-C276</t>
  </si>
  <si>
    <t>Base time per ingot / s</t>
  </si>
  <si>
    <t>Craft</t>
  </si>
  <si>
    <t>EBF</t>
  </si>
  <si>
    <t>ABS</t>
  </si>
  <si>
    <t>Molybdenum Silicide</t>
  </si>
  <si>
    <t>Molybdenum silicide</t>
  </si>
  <si>
    <t>Base time per ingot</t>
  </si>
  <si>
    <t>Faster method?</t>
  </si>
  <si>
    <t>To do list</t>
  </si>
  <si>
    <t>Item Number</t>
  </si>
  <si>
    <t>Task</t>
  </si>
  <si>
    <t>Completed?</t>
  </si>
  <si>
    <t>Make Gelid Cryotheum for coolant</t>
  </si>
  <si>
    <t>Get reactor running</t>
  </si>
  <si>
    <t>Build first reactor</t>
  </si>
  <si>
    <t>Centrifuge depleted TBU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</si>
</sst>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#,##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1" fillId="0" borderId="0" xfId="0" applyFont="1"/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/>
    <xf numFmtId="0" fontId="1" fillId="0" borderId="0" xfId="0" applyFont="1" applyAlignment="1">
      <alignment horizontal="center"/>
    </xf>
    <xf numFmtId="0" fontId="2" fillId="2" borderId="1" xfId="0" applyFont="1" applyFill="1" applyBorder="1"/>
    <xf numFmtId="0" fontId="1" fillId="3" borderId="2" xfId="0" applyFont="1" applyFill="1" applyBorder="1"/>
    <xf numFmtId="3" fontId="0" fillId="3" borderId="2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2" fontId="0" fillId="3" borderId="2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0" fontId="0" fillId="3" borderId="2" xfId="0" applyFill="1" applyBorder="1"/>
    <xf numFmtId="0" fontId="1" fillId="3" borderId="2" xfId="0" applyFont="1" applyFill="1" applyBorder="1" applyAlignment="1">
      <alignment horizontal="center"/>
    </xf>
    <xf numFmtId="166" fontId="0" fillId="3" borderId="2" xfId="0" applyNumberFormat="1" applyFill="1" applyBorder="1" applyAlignment="1">
      <alignment horizontal="center"/>
    </xf>
    <xf numFmtId="4" fontId="0" fillId="3" borderId="2" xfId="0" applyNumberForma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1" fillId="4" borderId="0" xfId="0" applyFont="1" applyFill="1"/>
    <xf numFmtId="0" fontId="0" fillId="0" borderId="0" xfId="0" applyAlignment="1">
      <alignment horizontal="center"/>
    </xf>
  </cellXfs>
  <cellStyles count="1">
    <cellStyle name="Normal" xfId="0" builtinId="0"/>
  </cellStyles>
  <dxfs count="114"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#,##0.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>
          <bgColor theme="5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>
          <bgColor theme="9" tint="-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>
          <bgColor theme="9" tint="-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>
          <bgColor theme="9" tint="-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164" formatCode="0.000"/>
    </dxf>
    <dxf>
      <numFmt numFmtId="164" formatCode="0.00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fill>
        <patternFill>
          <bgColor theme="5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>
          <bgColor theme="9" tint="-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>
          <bgColor theme="9" tint="-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>
          <bgColor theme="9" tint="-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F9D1A6-F236-4945-AF66-7984FF905CF9}" name="Table1" displayName="Table1" ref="B2:E10" totalsRowShown="0">
  <autoFilter ref="B2:E10" xr:uid="{21F9D1A6-F236-4945-AF66-7984FF905CF9}"/>
  <tableColumns count="4">
    <tableColumn id="1" xr3:uid="{087D4DF1-167D-4393-97EE-D7B055124B3E}" name="Field Generators"/>
    <tableColumn id="2" xr3:uid="{6D1E6783-339E-458F-A3C3-8B792C3B0354}" name="Special Wire"/>
    <tableColumn id="3" xr3:uid="{95D03910-5125-4320-9318-CAB24705699F}" name="Special Cable"/>
    <tableColumn id="4" xr3:uid="{28F55C27-75C6-4032-B63B-153DAE5F355B}" name="Special dust" dataDxfId="113">
      <calculatedColumnFormula>Table1[[#This Row],[Special Wire]]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CBC44AD-C13D-4BF3-8C0E-2A5EAB051B3D}" name="EBF" displayName="EBF" ref="B2:W77" totalsRowShown="0">
  <autoFilter ref="B2:W77" xr:uid="{FCBC44AD-C13D-4BF3-8C0E-2A5EAB051B3D}"/>
  <sortState xmlns:xlrd2="http://schemas.microsoft.com/office/spreadsheetml/2017/richdata2" ref="B3:W77">
    <sortCondition ref="F2:F77"/>
  </sortState>
  <tableColumns count="22">
    <tableColumn id="1" xr3:uid="{4209D951-DB99-4EFE-84DE-5B46DBE36E24}" name="Recipe"/>
    <tableColumn id="2" xr3:uid="{EB7FC240-930C-48FA-AF14-DBB210D6FEAB}" name="Base EU/T" dataDxfId="88"/>
    <tableColumn id="3" xr3:uid="{C25090EE-A0AD-4A56-9EED-FAF387E0B7EC}" name="Base voltage" dataDxfId="87">
      <calculatedColumnFormula>_xlfn.XLOOKUP(EBF[[#This Row],[Base EU/T]],Voltage[Voltage / V],Voltage[Voltage],"",1)</calculatedColumnFormula>
    </tableColumn>
    <tableColumn id="7" xr3:uid="{FB56DF92-7A66-4CC8-A658-19ACC1D91D7A}" name="Base duration / s" dataDxfId="86"/>
    <tableColumn id="4" xr3:uid="{FA223317-4E37-46E5-A8DF-03BFB40500E9}" name="Base Temperature / K" dataDxfId="85"/>
    <tableColumn id="5" xr3:uid="{7A427218-36C3-43C9-B47B-8600317CA646}" name="Liquid OC" dataDxfId="84"/>
    <tableColumn id="6" xr3:uid="{15478884-F562-4370-BF5F-F3FF6310BB3A}" name="Base coils" dataDxfId="83">
      <calculatedColumnFormula>_xlfn.XLOOKUP(EBF[[#This Row],[Base Temperature / K]],Coils[Temperature / K],Coils[Coil],"",1)</calculatedColumnFormula>
    </tableColumn>
    <tableColumn id="8" xr3:uid="{E3F8F9DD-D207-4423-9E17-F2FB5B646BDB}" name="OC 1" dataDxfId="82">
      <calculatedColumnFormula>_xlfn.XLOOKUP(EBF[[#This Row],[Base Temperature / K]]+(1800*1),Coils[Temperature / K],Coils[Coil],"",1)</calculatedColumnFormula>
    </tableColumn>
    <tableColumn id="9" xr3:uid="{F18E69D7-330C-430A-AA87-5097E15F9D52}" name="OC 2" dataDxfId="81">
      <calculatedColumnFormula>_xlfn.XLOOKUP(EBF[[#This Row],[Base Temperature / K]]+(1800*2),Coils[Temperature / K],Coils[Coil],"",1)</calculatedColumnFormula>
    </tableColumn>
    <tableColumn id="10" xr3:uid="{037A3CFC-B5E0-404D-A7FA-435AC6659C7E}" name="OC 3" dataDxfId="80">
      <calculatedColumnFormula>_xlfn.XLOOKUP(EBF[[#This Row],[Base Temperature / K]]+(1800*3),Coils[Temperature / K],Coils[Coil],"",1)</calculatedColumnFormula>
    </tableColumn>
    <tableColumn id="11" xr3:uid="{A7C7D254-51C7-4149-BE24-9823A3BC4ACA}" name="OC 4" dataDxfId="79">
      <calculatedColumnFormula>_xlfn.XLOOKUP(EBF[[#This Row],[Base Temperature / K]]+(1800*4),Coils[Temperature / K],Coils[Coil],"",1)</calculatedColumnFormula>
    </tableColumn>
    <tableColumn id="12" xr3:uid="{C92066D7-E297-46F7-861C-50417485FD13}" name="OC 5" dataDxfId="78">
      <calculatedColumnFormula>_xlfn.XLOOKUP(EBF[[#This Row],[Base Temperature / K]]+(1800*5),Coils[Temperature / K],Coils[Coil],"",1)</calculatedColumnFormula>
    </tableColumn>
    <tableColumn id="13" xr3:uid="{4B984485-F971-4319-BA23-D905B8531A79}" name="Energy hatch" dataDxfId="77"/>
    <tableColumn id="14" xr3:uid="{E51935E3-3AD9-4E58-AE31-80342576D18D}" name="Coils" dataDxfId="76"/>
    <tableColumn id="16" xr3:uid="{13EDD72B-D3E4-4B43-A9E9-072724F84CE4}" name="Heat capacity / K" dataDxfId="75">
      <calculatedColumnFormula>IFERROR(_xlfn.XLOOKUP(EBF[[#This Row],[Coils]],Coils[Coil],Coils[Temperature / K],"",1)+((_xlfn.XLOOKUP(EBF[[#This Row],[Energy hatch]],Voltage[Voltage],Voltage[Voltage tier],"",0)-1)*100),"")</calculatedColumnFormula>
    </tableColumn>
    <tableColumn id="17" xr3:uid="{3A4B4C35-0BE6-4AB7-82A6-CC67ABC3C650}" name="Energy discount" dataDxfId="74">
      <calculatedColumnFormula>IFERROR(0.95^ROUNDDOWN((EBF[[#This Row],[Heat capacity / K]]-EBF[[#This Row],[Base Temperature / K]])/900,0),"")</calculatedColumnFormula>
    </tableColumn>
    <tableColumn id="18" xr3:uid="{12BAA6D3-1F11-4B3B-ACEB-81F59D9558B0}" name="EU/t" dataDxfId="73">
      <calculatedColumnFormula>IFERROR(EBF[[#This Row],[Energy discount]]*4^(_xlfn.XLOOKUP(EBF[[#This Row],[Energy hatch]],Voltage[Voltage],Voltage[Voltage tier],"",0)-(_xlfn.XLOOKUP(EBF[[#This Row],[Base voltage]],Voltage[Voltage],Voltage[Voltage tier],"",0)))*EBF[[#This Row],[Base EU/T]],"")</calculatedColumnFormula>
    </tableColumn>
    <tableColumn id="24" xr3:uid="{01AFCF21-BED1-4EED-A168-22DD40E2ED1F}" name="RF/t" dataDxfId="72">
      <calculatedColumnFormula>EBF[[#This Row],[EU/t]]*4</calculatedColumnFormula>
    </tableColumn>
    <tableColumn id="19" xr3:uid="{227BD897-59AA-4B94-9C39-176EC3EDEAD5}" name="Coil overclock " dataDxfId="71">
      <calculatedColumnFormula>IFERROR(1/(2^ROUNDDOWN((EBF[[#This Row],[Heat capacity / K]]-EBF[[#This Row],[Base Temperature / K]])/1800,0)),"")</calculatedColumnFormula>
    </tableColumn>
    <tableColumn id="20" xr3:uid="{7033E876-4D9D-42AC-88D2-CA0026E5D996}" name="Energy overclock" dataDxfId="70">
      <calculatedColumnFormula>IFERROR(1/2^(_xlfn.XLOOKUP(EBF[[#This Row],[Energy hatch]],Voltage[Voltage],Voltage[Voltage tier],"",0)-(_xlfn.XLOOKUP(EBF[[#This Row],[Base voltage]],Voltage[Voltage],Voltage[Voltage tier],"",0))),"")</calculatedColumnFormula>
    </tableColumn>
    <tableColumn id="21" xr3:uid="{9C1C9D72-2A41-4B1F-ACAF-8535A186173A}" name="Total OC" dataDxfId="69">
      <calculatedColumnFormula>IFERROR(EBF[[#This Row],[Coil overclock ]]*EBF[[#This Row],[Energy overclock]],"")</calculatedColumnFormula>
    </tableColumn>
    <tableColumn id="22" xr3:uid="{9AE63E98-0A5D-4B39-BFF9-6DF803B9B5C4}" name="Net duration / s" dataDxfId="68">
      <calculatedColumnFormula>IFERROR(IF(ROUNDDOWN(EBF[[#This Row],[Total OC]]*EBF[[#This Row],[Base duration / s]],1)&lt;0.1,0.1,ROUNDDOWN(EBF[[#This Row],[Total OC]]*EBF[[#This Row],[Base duration / s]],1)),"")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630F9D5-E8BB-49BB-BB7C-19907700C178}" name="Table2" displayName="Table2" ref="B4:D8" totalsRowShown="0">
  <autoFilter ref="B4:D8" xr:uid="{B630F9D5-E8BB-49BB-BB7C-19907700C178}"/>
  <tableColumns count="3">
    <tableColumn id="1" xr3:uid="{6CB090B3-BBCF-4B5A-9F79-142A5A922658}" name="Item Number"/>
    <tableColumn id="2" xr3:uid="{72880EAF-EB62-440C-9363-47E861B2D64A}" name="Task"/>
    <tableColumn id="3" xr3:uid="{BC2F6D75-16B7-400E-9006-F421A15375F1}" name="Completed?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19AF50E-930C-4BE4-BE6E-9812F62A549A}" name="ABS" displayName="ABS" ref="B2:AH50" totalsRowShown="0" headerRowDxfId="43" dataDxfId="41" headerRowBorderDxfId="42" tableBorderDxfId="40" totalsRowBorderDxfId="39">
  <autoFilter ref="B2:AH50" xr:uid="{919AF50E-930C-4BE4-BE6E-9812F62A549A}"/>
  <sortState xmlns:xlrd2="http://schemas.microsoft.com/office/spreadsheetml/2017/richdata2" ref="B3:AH50">
    <sortCondition ref="C2:C50"/>
  </sortState>
  <tableColumns count="33">
    <tableColumn id="1" xr3:uid="{6E62DAC9-8CF8-4F03-BACC-17DC90E4191C}" name="Recipe" dataDxfId="38"/>
    <tableColumn id="32" xr3:uid="{9AD8D82C-4AF8-4CC0-9965-ED6AA64B5B3C}" name="Circuit" dataDxfId="37"/>
    <tableColumn id="28" xr3:uid="{7379BDD3-2B27-45FF-8116-B0BB624B6C71}" name="Ing1" dataDxfId="36"/>
    <tableColumn id="27" xr3:uid="{39CB1C59-22BA-4E2F-9132-C8A1BAC6553B}" name="Ing2" dataDxfId="35"/>
    <tableColumn id="26" xr3:uid="{82F5B724-CCE3-4804-8692-A60A5C96E576}" name="Ing3" dataDxfId="34"/>
    <tableColumn id="25" xr3:uid="{3C627D5E-0202-4E4C-B64A-7B09031C839D}" name="Ing4" dataDxfId="33"/>
    <tableColumn id="24" xr3:uid="{76A20342-5C13-445D-B7CB-2A6782F4776D}" name="Ing5" dataDxfId="32"/>
    <tableColumn id="23" xr3:uid="{C7D02378-2CDA-4A3B-925B-C026FA9965DB}" name="Ing6" dataDxfId="31"/>
    <tableColumn id="2" xr3:uid="{A77EFCB1-267E-480D-9CE1-5F948E136587}" name="Base EU/T" dataDxfId="30"/>
    <tableColumn id="3" xr3:uid="{5A5354A2-F83D-49AD-B4C1-4199FB69F1AF}" name="Base voltage" dataDxfId="29">
      <calculatedColumnFormula>_xlfn.XLOOKUP(ABS[[#This Row],[Base EU/T]],Voltage[Voltage / V],Voltage[Voltage],"",1)</calculatedColumnFormula>
    </tableColumn>
    <tableColumn id="4" xr3:uid="{A81C2710-1A70-424F-AD9E-80EC656BF674}" name="Base duration / s" dataDxfId="28"/>
    <tableColumn id="5" xr3:uid="{AA8C4061-590C-4BE9-BFA9-3FE67ECE83DE}" name="Base Temperature / K" dataDxfId="27"/>
    <tableColumn id="29" xr3:uid="{237F5037-F8D1-4FE5-A461-2F2AD67DBA54}" name="Yield / L" dataDxfId="26"/>
    <tableColumn id="30" xr3:uid="{C0413845-042D-4864-B0A0-F1B3680C35C2}" name="Yield / ingots" dataDxfId="25">
      <calculatedColumnFormula>ABS[[#This Row],[Yield / L]]/144</calculatedColumnFormula>
    </tableColumn>
    <tableColumn id="33" xr3:uid="{3B7A8BBD-F2B9-49FF-A907-A057C5C61AC9}" name="Base time per ingot / s" dataDxfId="24">
      <calculatedColumnFormula>ABS[[#This Row],[Base duration / s]]/ABS[[#This Row],[Yield / ingots]]</calculatedColumnFormula>
    </tableColumn>
    <tableColumn id="6" xr3:uid="{C9A2FB0E-9BFE-4D4E-88E7-C43AE42A920D}" name="Liquid OC" dataDxfId="23"/>
    <tableColumn id="7" xr3:uid="{41C4E437-0F34-4931-948E-89285CE0239C}" name="Base coils" dataDxfId="22">
      <calculatedColumnFormula>_xlfn.XLOOKUP(ABS[[#This Row],[Base Temperature / K]],Coils[Temperature / K],Coils[Coil],"",1)</calculatedColumnFormula>
    </tableColumn>
    <tableColumn id="8" xr3:uid="{BAD46E2D-A3AC-49AA-968D-2D75281DBA9C}" name="OC 1" dataDxfId="21">
      <calculatedColumnFormula>IF(ABS[[#This Row],[Base Temperature / K]]="","",_xlfn.XLOOKUP(ABS[[#This Row],[Base Temperature / K]]+(1800*1),Coils[Temperature / K],Coils[Coil],"",1))</calculatedColumnFormula>
    </tableColumn>
    <tableColumn id="9" xr3:uid="{5779FE56-86A0-4519-AEBA-D465FC66F789}" name="OC 2" dataDxfId="20">
      <calculatedColumnFormula>IF(ABS[[#This Row],[Base Temperature / K]]="","",_xlfn.XLOOKUP(ABS[[#This Row],[Base Temperature / K]]+(1800*2),Coils[Temperature / K],Coils[Coil],"",1))</calculatedColumnFormula>
    </tableColumn>
    <tableColumn id="10" xr3:uid="{0295F614-D29B-4F22-8DBA-E3A1E21D974D}" name="OC 3" dataDxfId="19">
      <calculatedColumnFormula>IF(ABS[[#This Row],[Base Temperature / K]]="","",_xlfn.XLOOKUP(ABS[[#This Row],[Base Temperature / K]]+(1800*3),Coils[Temperature / K],Coils[Coil],"",1))</calculatedColumnFormula>
    </tableColumn>
    <tableColumn id="11" xr3:uid="{B88D3E37-75BD-474A-A5C7-FB6E63A19465}" name="OC 4" dataDxfId="18">
      <calculatedColumnFormula>IF(ABS[[#This Row],[Base Temperature / K]]="","",_xlfn.XLOOKUP(ABS[[#This Row],[Base Temperature / K]]+(1800*4),Coils[Temperature / K],Coils[Coil],"",1))</calculatedColumnFormula>
    </tableColumn>
    <tableColumn id="12" xr3:uid="{343088E7-5B40-436A-9566-E7BF38167F83}" name="OC 5" dataDxfId="17">
      <calculatedColumnFormula>IF(ABS[[#This Row],[Base Temperature / K]]="","",_xlfn.XLOOKUP(ABS[[#This Row],[Base Temperature / K]]+(1800*5),Coils[Temperature / K],Coils[Coil],"",1))</calculatedColumnFormula>
    </tableColumn>
    <tableColumn id="13" xr3:uid="{AC8ECD7B-D74D-4E3C-89EE-8EDF04EAA13B}" name="Energy hatch" dataDxfId="16">
      <calculatedColumnFormula>ABS[[#This Row],[Base voltage]]</calculatedColumnFormula>
    </tableColumn>
    <tableColumn id="14" xr3:uid="{38F338DB-A34F-4861-A782-C290CE3E3CF9}" name="Coils" dataDxfId="15">
      <calculatedColumnFormula>ABS[[#This Row],[Base coils]]</calculatedColumnFormula>
    </tableColumn>
    <tableColumn id="15" xr3:uid="{56B393C5-CF88-4BC0-B82D-0E56C9EE2B09}" name="Heat capacity / K" dataDxfId="14">
      <calculatedColumnFormula>IFERROR(_xlfn.XLOOKUP(ABS[[#This Row],[Coils]],Coils[Coil],Coils[Temperature / K],"",1)+((_xlfn.XLOOKUP(ABS[[#This Row],[Energy hatch]],Voltage[Voltage],Voltage[Voltage tier],"",0)-1)*100),"")</calculatedColumnFormula>
    </tableColumn>
    <tableColumn id="16" xr3:uid="{6C7B7378-BBF5-477D-A683-66F792ED38C9}" name="Energy discount" dataDxfId="13">
      <calculatedColumnFormula>IFERROR(0.95^ROUNDDOWN((ABS[[#This Row],[Heat capacity / K]]-ABS[[#This Row],[Base Temperature / K]])/900,0),"")</calculatedColumnFormula>
    </tableColumn>
    <tableColumn id="17" xr3:uid="{F189B774-4915-4C9F-BCD1-9CE9571A8385}" name="EU/t" dataDxfId="12">
      <calculatedColumnFormula>IFERROR(ABS[[#This Row],[Energy discount]]*4^(_xlfn.XLOOKUP(ABS[[#This Row],[Energy hatch]],Voltage[Voltage],Voltage[Voltage tier],"",0)-(_xlfn.XLOOKUP(ABS[[#This Row],[Base voltage]],Voltage[Voltage],Voltage[Voltage tier],"",0)))*ABS[[#This Row],[Base EU/T]],"")</calculatedColumnFormula>
    </tableColumn>
    <tableColumn id="18" xr3:uid="{A1D2774A-B856-4227-8FD5-5FCFA7CB6203}" name="RF/t" dataDxfId="11">
      <calculatedColumnFormula>ABS[[#This Row],[EU/t]]*4</calculatedColumnFormula>
    </tableColumn>
    <tableColumn id="19" xr3:uid="{6E42CB79-3090-4F79-AD9C-4AD16718210B}" name="Coil overclock " dataDxfId="10">
      <calculatedColumnFormula>IFERROR(1/(2^ROUNDDOWN((ABS[[#This Row],[Heat capacity / K]]-ABS[[#This Row],[Base Temperature / K]])/1800,0)),"")</calculatedColumnFormula>
    </tableColumn>
    <tableColumn id="20" xr3:uid="{30DEE84E-A1BE-402B-AE68-93C5ED69BDE5}" name="Energy overclock" dataDxfId="9">
      <calculatedColumnFormula>IFERROR(1/2^(_xlfn.XLOOKUP(ABS[[#This Row],[Energy hatch]],Voltage[Voltage],Voltage[Voltage tier],"",0)-(_xlfn.XLOOKUP(ABS[[#This Row],[Base voltage]],Voltage[Voltage],Voltage[Voltage tier],"",0))),"")</calculatedColumnFormula>
    </tableColumn>
    <tableColumn id="21" xr3:uid="{25FFAB26-099F-4955-8E77-5A06C54479A7}" name="Total OC" dataDxfId="8">
      <calculatedColumnFormula>IFERROR(ABS[[#This Row],[Coil overclock ]]*ABS[[#This Row],[Energy overclock]],"")</calculatedColumnFormula>
    </tableColumn>
    <tableColumn id="22" xr3:uid="{59A21B8F-BE63-45BA-9358-10205F7F0E1B}" name="Net duration / s" dataDxfId="7">
      <calculatedColumnFormula>IFERROR(IF(ROUNDDOWN(ABS[[#This Row],[Total OC]]*ABS[[#This Row],[Base duration / s]],1)&lt;0.1,0.1,ROUNDDOWN(ABS[[#This Row],[Total OC]]*ABS[[#This Row],[Base duration / s]],1)),"")</calculatedColumnFormula>
    </tableColumn>
    <tableColumn id="31" xr3:uid="{3A2DC328-5717-4F5D-86C8-3CAF692DF689}" name="Time per ingot" dataDxfId="6">
      <calculatedColumnFormula>ABS[[#This Row],[Net duration / s]]/ABS[[#This Row],[Yield / ingots]]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EE7ED3A-4A6C-40D6-B5CB-0EB6453397A5}" name="Table9" displayName="Table9" ref="B2:E50" totalsRowShown="0">
  <autoFilter ref="B2:E50" xr:uid="{DEE7ED3A-4A6C-40D6-B5CB-0EB6453397A5}">
    <filterColumn colId="1">
      <customFilters>
        <customFilter operator="notEqual" val=" "/>
      </customFilters>
    </filterColumn>
  </autoFilter>
  <sortState xmlns:xlrd2="http://schemas.microsoft.com/office/spreadsheetml/2017/richdata2" ref="B3:D50">
    <sortCondition ref="B2:B50"/>
  </sortState>
  <tableColumns count="4">
    <tableColumn id="1" xr3:uid="{0D8BD52E-1C1E-4C99-8B32-0CBF9FF68E79}" name="Craft"/>
    <tableColumn id="2" xr3:uid="{35F7CBA8-615C-4C3E-8A9C-46D38E1CEE89}" name="EBF" dataDxfId="3">
      <calculatedColumnFormula>_xlfn.XLOOKUP(Table9[[#This Row],[Craft]],EBF[Recipe],EBF[Base duration / s],"",0)</calculatedColumnFormula>
    </tableColumn>
    <tableColumn id="3" xr3:uid="{C232FFDC-81C5-4C1E-9316-3D3729EAF3DF}" name="ABS" dataDxfId="2">
      <calculatedColumnFormula>_xlfn.XLOOKUP(Table9[[#This Row],[Craft]],ABS[Recipe],ABS[Base time per ingot / s],"",0)</calculatedColumnFormula>
    </tableColumn>
    <tableColumn id="4" xr3:uid="{C60406B0-EC83-4238-AB82-9AA0B3737E0A}" name="Faster method?" dataDxfId="1">
      <calculatedColumnFormula array="1">INDEX(Table9[[#Headers],[EBF]:[ABS]],0,MATCH(MIN(Table9[[#This Row],[EBF]:[ABS]]),Table9[[#This Row],[EBF]:[ABS]],0))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319FD0-C510-4963-AF1C-97D73A9133D4}" name="Coils" displayName="Coils" ref="B2:C10" totalsRowShown="0">
  <autoFilter ref="B2:C10" xr:uid="{A8319FD0-C510-4963-AF1C-97D73A9133D4}"/>
  <tableColumns count="2">
    <tableColumn id="1" xr3:uid="{BE234265-3D92-4580-BD2D-74FDEC21952D}" name="Coil"/>
    <tableColumn id="2" xr3:uid="{1209D973-C9AE-469A-BA19-092E7C7218C1}" name="Temperature / K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BFB315-67B2-4EDA-83D2-4506406B9153}" name="Voltage" displayName="Voltage" ref="E2:G10" totalsRowShown="0">
  <autoFilter ref="E2:G10" xr:uid="{14BFB315-67B2-4EDA-83D2-4506406B9153}"/>
  <tableColumns count="3">
    <tableColumn id="1" xr3:uid="{9079E57F-E18F-42F5-9167-19B2FC385D3B}" name="Voltage"/>
    <tableColumn id="2" xr3:uid="{5DE88830-9BFA-4ECA-814B-8E4E4E7C0EE6}" name="Voltage tier"/>
    <tableColumn id="3" xr3:uid="{D3AF7B58-9828-4458-A778-4278EC9DB722}" name="Voltage / V" dataDxfId="0">
      <calculatedColumnFormula>32*(4^Voltage[[#This Row],[Voltage tier]])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83187-FB35-47A4-8834-ADC1BC561CBF}">
  <dimension ref="B2:E10"/>
  <sheetViews>
    <sheetView zoomScale="115" zoomScaleNormal="115" workbookViewId="0">
      <selection activeCell="D18" sqref="D18"/>
    </sheetView>
  </sheetViews>
  <sheetFormatPr defaultRowHeight="15" x14ac:dyDescent="0.25"/>
  <cols>
    <col min="2" max="2" width="18" customWidth="1"/>
    <col min="3" max="3" width="44.140625" bestFit="1" customWidth="1"/>
    <col min="4" max="4" width="22.140625" bestFit="1" customWidth="1"/>
    <col min="5" max="5" width="44.140625" bestFit="1" customWidth="1"/>
  </cols>
  <sheetData>
    <row r="2" spans="2:5" x14ac:dyDescent="0.25">
      <c r="B2" t="s">
        <v>0</v>
      </c>
      <c r="C2" t="s">
        <v>17</v>
      </c>
      <c r="D2" t="s">
        <v>16</v>
      </c>
      <c r="E2" t="s">
        <v>22</v>
      </c>
    </row>
    <row r="3" spans="2:5" x14ac:dyDescent="0.25">
      <c r="B3" t="s">
        <v>1</v>
      </c>
      <c r="C3" t="s">
        <v>9</v>
      </c>
      <c r="E3" t="str">
        <f>Table1[[#This Row],[Special Wire]]</f>
        <v>Manganese phosphide</v>
      </c>
    </row>
    <row r="4" spans="2:5" x14ac:dyDescent="0.25">
      <c r="B4" t="s">
        <v>2</v>
      </c>
      <c r="C4" t="s">
        <v>10</v>
      </c>
      <c r="E4" t="str">
        <f>Table1[[#This Row],[Special Wire]]</f>
        <v>Magnesium diboride</v>
      </c>
    </row>
    <row r="5" spans="2:5" x14ac:dyDescent="0.25">
      <c r="B5" t="s">
        <v>3</v>
      </c>
      <c r="C5" t="s">
        <v>11</v>
      </c>
      <c r="E5" t="str">
        <f>Table1[[#This Row],[Special Wire]]</f>
        <v>Mercury barium calcium cuprate</v>
      </c>
    </row>
    <row r="6" spans="2:5" x14ac:dyDescent="0.25">
      <c r="B6" t="s">
        <v>4</v>
      </c>
      <c r="C6" t="s">
        <v>12</v>
      </c>
      <c r="E6" t="str">
        <f>Table1[[#This Row],[Special Wire]]</f>
        <v>Uranium triplatinum</v>
      </c>
    </row>
    <row r="7" spans="2:5" x14ac:dyDescent="0.25">
      <c r="B7" t="s">
        <v>5</v>
      </c>
      <c r="C7" t="s">
        <v>13</v>
      </c>
      <c r="E7" t="str">
        <f>Table1[[#This Row],[Special Wire]]</f>
        <v>Samarium iron arsenic oxide</v>
      </c>
    </row>
    <row r="8" spans="2:5" x14ac:dyDescent="0.25">
      <c r="B8" t="s">
        <v>6</v>
      </c>
      <c r="C8" t="s">
        <v>14</v>
      </c>
      <c r="D8" t="s">
        <v>15</v>
      </c>
      <c r="E8" t="str">
        <f>Table1[[#This Row],[Special Wire]]</f>
        <v>Indium Tin Barium Titatnium Cuprate</v>
      </c>
    </row>
    <row r="9" spans="2:5" x14ac:dyDescent="0.25">
      <c r="B9" t="s">
        <v>8</v>
      </c>
      <c r="C9" t="s">
        <v>18</v>
      </c>
      <c r="D9" t="s">
        <v>19</v>
      </c>
      <c r="E9" t="str">
        <f>Table1[[#This Row],[Special Wire]]</f>
        <v>Uranium Rhodium Dinaquadide</v>
      </c>
    </row>
    <row r="10" spans="2:5" x14ac:dyDescent="0.25">
      <c r="B10" t="s">
        <v>7</v>
      </c>
      <c r="C10" t="s">
        <v>20</v>
      </c>
      <c r="D10" t="s">
        <v>21</v>
      </c>
      <c r="E10" t="str">
        <f>Table1[[#This Row],[Special Wire]]</f>
        <v>Enriched Naquadah Trinium Europium Duranide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7B763-C64A-48A3-9007-6215B0D09501}">
  <dimension ref="B2:W77"/>
  <sheetViews>
    <sheetView tabSelected="1" topLeftCell="A19" workbookViewId="0">
      <selection activeCell="E41" sqref="E41"/>
    </sheetView>
  </sheetViews>
  <sheetFormatPr defaultRowHeight="15" x14ac:dyDescent="0.25"/>
  <cols>
    <col min="2" max="2" width="45.85546875" bestFit="1" customWidth="1"/>
    <col min="3" max="3" width="12.140625" bestFit="1" customWidth="1"/>
    <col min="4" max="4" width="14.42578125" bestFit="1" customWidth="1"/>
    <col min="5" max="5" width="18.140625" bestFit="1" customWidth="1"/>
    <col min="6" max="6" width="22.5703125" bestFit="1" customWidth="1"/>
    <col min="7" max="7" width="11.7109375" bestFit="1" customWidth="1"/>
    <col min="8" max="9" width="13.7109375" bestFit="1" customWidth="1"/>
    <col min="10" max="11" width="10" bestFit="1" customWidth="1"/>
    <col min="12" max="13" width="9.5703125" bestFit="1" customWidth="1"/>
    <col min="15" max="15" width="13.7109375" bestFit="1" customWidth="1"/>
    <col min="16" max="16" width="18" bestFit="1" customWidth="1"/>
    <col min="17" max="17" width="17.42578125" bestFit="1" customWidth="1"/>
    <col min="20" max="20" width="13.5703125" bestFit="1" customWidth="1"/>
  </cols>
  <sheetData>
    <row r="2" spans="2:23" x14ac:dyDescent="0.25">
      <c r="B2" t="s">
        <v>23</v>
      </c>
      <c r="C2" t="s">
        <v>25</v>
      </c>
      <c r="D2" t="s">
        <v>24</v>
      </c>
      <c r="E2" t="s">
        <v>32</v>
      </c>
      <c r="F2" t="s">
        <v>26</v>
      </c>
      <c r="G2" t="s">
        <v>27</v>
      </c>
      <c r="H2" t="s">
        <v>30</v>
      </c>
      <c r="I2" t="s">
        <v>112</v>
      </c>
      <c r="J2" t="s">
        <v>113</v>
      </c>
      <c r="K2" t="s">
        <v>114</v>
      </c>
      <c r="L2" t="s">
        <v>115</v>
      </c>
      <c r="M2" t="s">
        <v>116</v>
      </c>
      <c r="N2" t="s">
        <v>118</v>
      </c>
      <c r="O2" t="s">
        <v>117</v>
      </c>
      <c r="P2" t="s">
        <v>119</v>
      </c>
      <c r="Q2" t="s">
        <v>120</v>
      </c>
      <c r="R2" t="s">
        <v>121</v>
      </c>
      <c r="S2" t="s">
        <v>126</v>
      </c>
      <c r="T2" t="s">
        <v>122</v>
      </c>
      <c r="U2" t="s">
        <v>123</v>
      </c>
      <c r="V2" t="s">
        <v>124</v>
      </c>
      <c r="W2" t="s">
        <v>125</v>
      </c>
    </row>
    <row r="3" spans="2:23" x14ac:dyDescent="0.25">
      <c r="B3" s="3" t="s">
        <v>37</v>
      </c>
      <c r="C3" s="2">
        <v>120</v>
      </c>
      <c r="D3" s="1" t="str">
        <f>_xlfn.XLOOKUP(EBF[[#This Row],[Base EU/T]],Voltage[Voltage / V],Voltage[Voltage],"",1)</f>
        <v>MV</v>
      </c>
      <c r="E3" s="2">
        <v>10</v>
      </c>
      <c r="F3" s="2">
        <v>1000</v>
      </c>
      <c r="G3" s="1"/>
      <c r="H3" s="1" t="str">
        <f>_xlfn.XLOOKUP(EBF[[#This Row],[Base Temperature / K]],Coils[Temperature / K],Coils[Coil],"",1)</f>
        <v>Cupronickel</v>
      </c>
      <c r="I3" s="1" t="str">
        <f>_xlfn.XLOOKUP(EBF[[#This Row],[Base Temperature / K]]+(1800*1),Coils[Temperature / K],Coils[Coil],"",1)</f>
        <v>Nichrome</v>
      </c>
      <c r="J3" s="1" t="str">
        <f>_xlfn.XLOOKUP(EBF[[#This Row],[Base Temperature / K]]+(1800*2),Coils[Temperature / K],Coils[Coil],"",1)</f>
        <v>HSS-G</v>
      </c>
      <c r="K3" s="1" t="str">
        <f>_xlfn.XLOOKUP(EBF[[#This Row],[Base Temperature / K]]+(1800*3),Coils[Temperature / K],Coils[Coil],"",1)</f>
        <v>Naquadah</v>
      </c>
      <c r="L3" s="1" t="str">
        <f>_xlfn.XLOOKUP(EBF[[#This Row],[Base Temperature / K]]+(1800*4),Coils[Temperature / K],Coils[Coil],"",1)</f>
        <v>Trinium</v>
      </c>
      <c r="M3" s="1" t="str">
        <f>_xlfn.XLOOKUP(EBF[[#This Row],[Base Temperature / K]]+(1800*5),Coils[Temperature / K],Coils[Coil],"",1)</f>
        <v>Tritanium</v>
      </c>
      <c r="N3" s="1" t="s">
        <v>3</v>
      </c>
      <c r="O3" s="1" t="s">
        <v>79</v>
      </c>
      <c r="P3" s="2">
        <f>IFERROR(_xlfn.XLOOKUP(EBF[[#This Row],[Coils]],Coils[Coil],Coils[Temperature / K],"",1)+((_xlfn.XLOOKUP(EBF[[#This Row],[Energy hatch]],Voltage[Voltage],Voltage[Voltage tier],"",0)-1)*100),"")</f>
        <v>5500</v>
      </c>
      <c r="Q3" s="5">
        <f>IFERROR(0.95^ROUNDDOWN((EBF[[#This Row],[Heat capacity / K]]-EBF[[#This Row],[Base Temperature / K]])/900,0),"")</f>
        <v>0.77378093749999999</v>
      </c>
      <c r="R3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371.41485</v>
      </c>
      <c r="S3" s="2">
        <f>EBF[[#This Row],[EU/t]]*4</f>
        <v>1485.6594</v>
      </c>
      <c r="T3" s="4">
        <f>IFERROR(1/(2^ROUNDDOWN((EBF[[#This Row],[Heat capacity / K]]-EBF[[#This Row],[Base Temperature / K]])/1800,0)),"")</f>
        <v>0.25</v>
      </c>
      <c r="U3" s="4">
        <f>IFERROR(1/2^(_xlfn.XLOOKUP(EBF[[#This Row],[Energy hatch]],Voltage[Voltage],Voltage[Voltage tier],"",0)-(_xlfn.XLOOKUP(EBF[[#This Row],[Base voltage]],Voltage[Voltage],Voltage[Voltage tier],"",0))),"")</f>
        <v>0.5</v>
      </c>
      <c r="V3">
        <f>IFERROR(EBF[[#This Row],[Coil overclock ]]*EBF[[#This Row],[Energy overclock]],"")</f>
        <v>0.125</v>
      </c>
      <c r="W3" s="8">
        <f>IFERROR(IF(ROUNDDOWN(EBF[[#This Row],[Total OC]]*EBF[[#This Row],[Base duration / s]],1)&lt;0.1,0.1,ROUNDDOWN(EBF[[#This Row],[Total OC]]*EBF[[#This Row],[Base duration / s]],1)),"")</f>
        <v>1.2</v>
      </c>
    </row>
    <row r="4" spans="2:23" x14ac:dyDescent="0.25">
      <c r="B4" t="s">
        <v>58</v>
      </c>
      <c r="C4" s="2">
        <v>120</v>
      </c>
      <c r="D4" s="1" t="str">
        <f>_xlfn.XLOOKUP(EBF[[#This Row],[Base EU/T]],Voltage[Voltage / V],Voltage[Voltage],"",1)</f>
        <v>MV</v>
      </c>
      <c r="E4" s="2">
        <v>50</v>
      </c>
      <c r="F4" s="2">
        <v>1100</v>
      </c>
      <c r="G4" s="1" t="s">
        <v>40</v>
      </c>
      <c r="H4" s="1" t="str">
        <f>_xlfn.XLOOKUP(EBF[[#This Row],[Base Temperature / K]],Coils[Temperature / K],Coils[Coil],"",1)</f>
        <v>Cupronickel</v>
      </c>
      <c r="I4" s="1" t="str">
        <f>_xlfn.XLOOKUP(EBF[[#This Row],[Base Temperature / K]]+(1800*1),Coils[Temperature / K],Coils[Coil],"",1)</f>
        <v>Nichrome</v>
      </c>
      <c r="J4" s="1" t="str">
        <f>_xlfn.XLOOKUP(EBF[[#This Row],[Base Temperature / K]]+(1800*2),Coils[Temperature / K],Coils[Coil],"",1)</f>
        <v>HSS-G</v>
      </c>
      <c r="K4" s="1" t="str">
        <f>_xlfn.XLOOKUP(EBF[[#This Row],[Base Temperature / K]]+(1800*3),Coils[Temperature / K],Coils[Coil],"",1)</f>
        <v>Naquadah</v>
      </c>
      <c r="L4" s="1" t="str">
        <f>_xlfn.XLOOKUP(EBF[[#This Row],[Base Temperature / K]]+(1800*4),Coils[Temperature / K],Coils[Coil],"",1)</f>
        <v>Trinium</v>
      </c>
      <c r="M4" s="1" t="str">
        <f>_xlfn.XLOOKUP(EBF[[#This Row],[Base Temperature / K]]+(1800*5),Coils[Temperature / K],Coils[Coil],"",1)</f>
        <v>Tritanium</v>
      </c>
      <c r="N4" s="1" t="s">
        <v>3</v>
      </c>
      <c r="O4" s="1" t="s">
        <v>79</v>
      </c>
      <c r="P4" s="2">
        <f>IFERROR(_xlfn.XLOOKUP(EBF[[#This Row],[Coils]],Coils[Coil],Coils[Temperature / K],"",1)+((_xlfn.XLOOKUP(EBF[[#This Row],[Energy hatch]],Voltage[Voltage],Voltage[Voltage tier],"",0)-1)*100),"")</f>
        <v>5500</v>
      </c>
      <c r="Q4" s="5">
        <f>IFERROR(0.95^ROUNDDOWN((EBF[[#This Row],[Heat capacity / K]]-EBF[[#This Row],[Base Temperature / K]])/900,0),"")</f>
        <v>0.81450624999999999</v>
      </c>
      <c r="R4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390.96299999999997</v>
      </c>
      <c r="S4" s="2">
        <f>EBF[[#This Row],[EU/t]]*4</f>
        <v>1563.8519999999999</v>
      </c>
      <c r="T4" s="4">
        <f>IFERROR(1/(2^ROUNDDOWN((EBF[[#This Row],[Heat capacity / K]]-EBF[[#This Row],[Base Temperature / K]])/1800,0)),"")</f>
        <v>0.25</v>
      </c>
      <c r="U4" s="4">
        <f>IFERROR(1/2^(_xlfn.XLOOKUP(EBF[[#This Row],[Energy hatch]],Voltage[Voltage],Voltage[Voltage tier],"",0)-(_xlfn.XLOOKUP(EBF[[#This Row],[Base voltage]],Voltage[Voltage],Voltage[Voltage tier],"",0))),"")</f>
        <v>0.5</v>
      </c>
      <c r="V4">
        <f>IFERROR(EBF[[#This Row],[Coil overclock ]]*EBF[[#This Row],[Energy overclock]],"")</f>
        <v>0.125</v>
      </c>
      <c r="W4" s="8">
        <f>IFERROR(IF(ROUNDDOWN(EBF[[#This Row],[Total OC]]*EBF[[#This Row],[Base duration / s]],1)&lt;0.1,0.1,ROUNDDOWN(EBF[[#This Row],[Total OC]]*EBF[[#This Row],[Base duration / s]],1)),"")</f>
        <v>6.2</v>
      </c>
    </row>
    <row r="5" spans="2:23" x14ac:dyDescent="0.25">
      <c r="B5" s="3" t="s">
        <v>97</v>
      </c>
      <c r="C5" s="2">
        <v>120</v>
      </c>
      <c r="D5" s="1" t="str">
        <f>_xlfn.XLOOKUP(EBF[[#This Row],[Base EU/T]],Voltage[Voltage / V],Voltage[Voltage],"",1)</f>
        <v>MV</v>
      </c>
      <c r="E5" s="2">
        <v>145.19999999999999</v>
      </c>
      <c r="F5" s="2">
        <v>1100</v>
      </c>
      <c r="G5" s="1"/>
      <c r="H5" s="1" t="str">
        <f>_xlfn.XLOOKUP(EBF[[#This Row],[Base Temperature / K]],Coils[Temperature / K],Coils[Coil],"",1)</f>
        <v>Cupronickel</v>
      </c>
      <c r="I5" s="1" t="str">
        <f>_xlfn.XLOOKUP(EBF[[#This Row],[Base Temperature / K]]+(1800*1),Coils[Temperature / K],Coils[Coil],"",1)</f>
        <v>Nichrome</v>
      </c>
      <c r="J5" s="1" t="str">
        <f>_xlfn.XLOOKUP(EBF[[#This Row],[Base Temperature / K]]+(1800*2),Coils[Temperature / K],Coils[Coil],"",1)</f>
        <v>HSS-G</v>
      </c>
      <c r="K5" s="1" t="str">
        <f>_xlfn.XLOOKUP(EBF[[#This Row],[Base Temperature / K]]+(1800*3),Coils[Temperature / K],Coils[Coil],"",1)</f>
        <v>Naquadah</v>
      </c>
      <c r="L5" s="1" t="str">
        <f>_xlfn.XLOOKUP(EBF[[#This Row],[Base Temperature / K]]+(1800*4),Coils[Temperature / K],Coils[Coil],"",1)</f>
        <v>Trinium</v>
      </c>
      <c r="M5" s="1" t="str">
        <f>_xlfn.XLOOKUP(EBF[[#This Row],[Base Temperature / K]]+(1800*5),Coils[Temperature / K],Coils[Coil],"",1)</f>
        <v>Tritanium</v>
      </c>
      <c r="N5" s="1" t="s">
        <v>3</v>
      </c>
      <c r="O5" s="1" t="s">
        <v>79</v>
      </c>
      <c r="P5" s="2">
        <f>IFERROR(_xlfn.XLOOKUP(EBF[[#This Row],[Coils]],Coils[Coil],Coils[Temperature / K],"",1)+((_xlfn.XLOOKUP(EBF[[#This Row],[Energy hatch]],Voltage[Voltage],Voltage[Voltage tier],"",0)-1)*100),"")</f>
        <v>5500</v>
      </c>
      <c r="Q5" s="5">
        <f>IFERROR(0.95^ROUNDDOWN((EBF[[#This Row],[Heat capacity / K]]-EBF[[#This Row],[Base Temperature / K]])/900,0),"")</f>
        <v>0.81450624999999999</v>
      </c>
      <c r="R5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390.96299999999997</v>
      </c>
      <c r="S5" s="2">
        <f>EBF[[#This Row],[EU/t]]*4</f>
        <v>1563.8519999999999</v>
      </c>
      <c r="T5" s="4">
        <f>IFERROR(1/(2^ROUNDDOWN((EBF[[#This Row],[Heat capacity / K]]-EBF[[#This Row],[Base Temperature / K]])/1800,0)),"")</f>
        <v>0.25</v>
      </c>
      <c r="U5" s="4">
        <f>IFERROR(1/2^(_xlfn.XLOOKUP(EBF[[#This Row],[Energy hatch]],Voltage[Voltage],Voltage[Voltage tier],"",0)-(_xlfn.XLOOKUP(EBF[[#This Row],[Base voltage]],Voltage[Voltage],Voltage[Voltage tier],"",0))),"")</f>
        <v>0.5</v>
      </c>
      <c r="V5">
        <f>IFERROR(EBF[[#This Row],[Coil overclock ]]*EBF[[#This Row],[Energy overclock]],"")</f>
        <v>0.125</v>
      </c>
      <c r="W5" s="8">
        <f>IFERROR(IF(ROUNDDOWN(EBF[[#This Row],[Total OC]]*EBF[[#This Row],[Base duration / s]],1)&lt;0.1,0.1,ROUNDDOWN(EBF[[#This Row],[Total OC]]*EBF[[#This Row],[Base duration / s]],1)),"")</f>
        <v>18.100000000000001</v>
      </c>
    </row>
    <row r="6" spans="2:23" x14ac:dyDescent="0.25">
      <c r="B6" s="3" t="s">
        <v>68</v>
      </c>
      <c r="C6" s="2">
        <v>120</v>
      </c>
      <c r="D6" s="1" t="str">
        <f>_xlfn.XLOOKUP(EBF[[#This Row],[Base EU/T]],Voltage[Voltage / V],Voltage[Voltage],"",1)</f>
        <v>MV</v>
      </c>
      <c r="E6" s="2">
        <v>50</v>
      </c>
      <c r="F6" s="2">
        <v>1200</v>
      </c>
      <c r="G6" s="1" t="s">
        <v>40</v>
      </c>
      <c r="H6" s="1" t="str">
        <f>_xlfn.XLOOKUP(EBF[[#This Row],[Base Temperature / K]],Coils[Temperature / K],Coils[Coil],"",1)</f>
        <v>Cupronickel</v>
      </c>
      <c r="I6" s="1" t="str">
        <f>_xlfn.XLOOKUP(EBF[[#This Row],[Base Temperature / K]]+(1800*1),Coils[Temperature / K],Coils[Coil],"",1)</f>
        <v>Nichrome</v>
      </c>
      <c r="J6" s="1" t="str">
        <f>_xlfn.XLOOKUP(EBF[[#This Row],[Base Temperature / K]]+(1800*2),Coils[Temperature / K],Coils[Coil],"",1)</f>
        <v>HSS-G</v>
      </c>
      <c r="K6" s="1" t="str">
        <f>_xlfn.XLOOKUP(EBF[[#This Row],[Base Temperature / K]]+(1800*3),Coils[Temperature / K],Coils[Coil],"",1)</f>
        <v>Naquadah</v>
      </c>
      <c r="L6" s="1" t="str">
        <f>_xlfn.XLOOKUP(EBF[[#This Row],[Base Temperature / K]]+(1800*4),Coils[Temperature / K],Coils[Coil],"",1)</f>
        <v>Trinium</v>
      </c>
      <c r="M6" s="1" t="str">
        <f>_xlfn.XLOOKUP(EBF[[#This Row],[Base Temperature / K]]+(1800*5),Coils[Temperature / K],Coils[Coil],"",1)</f>
        <v>Tritanium</v>
      </c>
      <c r="N6" s="1" t="s">
        <v>3</v>
      </c>
      <c r="O6" s="1" t="s">
        <v>79</v>
      </c>
      <c r="P6" s="2">
        <f>IFERROR(_xlfn.XLOOKUP(EBF[[#This Row],[Coils]],Coils[Coil],Coils[Temperature / K],"",1)+((_xlfn.XLOOKUP(EBF[[#This Row],[Energy hatch]],Voltage[Voltage],Voltage[Voltage tier],"",0)-1)*100),"")</f>
        <v>5500</v>
      </c>
      <c r="Q6" s="5">
        <f>IFERROR(0.95^ROUNDDOWN((EBF[[#This Row],[Heat capacity / K]]-EBF[[#This Row],[Base Temperature / K]])/900,0),"")</f>
        <v>0.81450624999999999</v>
      </c>
      <c r="R6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390.96299999999997</v>
      </c>
      <c r="S6" s="2">
        <f>EBF[[#This Row],[EU/t]]*4</f>
        <v>1563.8519999999999</v>
      </c>
      <c r="T6" s="4">
        <f>IFERROR(1/(2^ROUNDDOWN((EBF[[#This Row],[Heat capacity / K]]-EBF[[#This Row],[Base Temperature / K]])/1800,0)),"")</f>
        <v>0.25</v>
      </c>
      <c r="U6" s="4">
        <f>IFERROR(1/2^(_xlfn.XLOOKUP(EBF[[#This Row],[Energy hatch]],Voltage[Voltage],Voltage[Voltage tier],"",0)-(_xlfn.XLOOKUP(EBF[[#This Row],[Base voltage]],Voltage[Voltage],Voltage[Voltage tier],"",0))),"")</f>
        <v>0.5</v>
      </c>
      <c r="V6">
        <f>IFERROR(EBF[[#This Row],[Coil overclock ]]*EBF[[#This Row],[Energy overclock]],"")</f>
        <v>0.125</v>
      </c>
      <c r="W6" s="8">
        <f>IFERROR(IF(ROUNDDOWN(EBF[[#This Row],[Total OC]]*EBF[[#This Row],[Base duration / s]],1)&lt;0.1,0.1,ROUNDDOWN(EBF[[#This Row],[Total OC]]*EBF[[#This Row],[Base duration / s]],1)),"")</f>
        <v>6.2</v>
      </c>
    </row>
    <row r="7" spans="2:23" x14ac:dyDescent="0.25">
      <c r="B7" s="3" t="s">
        <v>73</v>
      </c>
      <c r="C7" s="2">
        <v>120</v>
      </c>
      <c r="D7" s="1" t="str">
        <f>_xlfn.XLOOKUP(EBF[[#This Row],[Base EU/T]],Voltage[Voltage / V],Voltage[Voltage],"",1)</f>
        <v>MV</v>
      </c>
      <c r="E7" s="2">
        <v>60</v>
      </c>
      <c r="F7" s="2">
        <v>1200</v>
      </c>
      <c r="G7" s="1" t="s">
        <v>40</v>
      </c>
      <c r="H7" s="1" t="str">
        <f>_xlfn.XLOOKUP(EBF[[#This Row],[Base Temperature / K]],Coils[Temperature / K],Coils[Coil],"",1)</f>
        <v>Cupronickel</v>
      </c>
      <c r="I7" s="1" t="str">
        <f>_xlfn.XLOOKUP(EBF[[#This Row],[Base Temperature / K]]+(1800*1),Coils[Temperature / K],Coils[Coil],"",1)</f>
        <v>Nichrome</v>
      </c>
      <c r="J7" s="1" t="str">
        <f>_xlfn.XLOOKUP(EBF[[#This Row],[Base Temperature / K]]+(1800*2),Coils[Temperature / K],Coils[Coil],"",1)</f>
        <v>HSS-G</v>
      </c>
      <c r="K7" s="1" t="str">
        <f>_xlfn.XLOOKUP(EBF[[#This Row],[Base Temperature / K]]+(1800*3),Coils[Temperature / K],Coils[Coil],"",1)</f>
        <v>Naquadah</v>
      </c>
      <c r="L7" s="1" t="str">
        <f>_xlfn.XLOOKUP(EBF[[#This Row],[Base Temperature / K]]+(1800*4),Coils[Temperature / K],Coils[Coil],"",1)</f>
        <v>Trinium</v>
      </c>
      <c r="M7" s="1" t="str">
        <f>_xlfn.XLOOKUP(EBF[[#This Row],[Base Temperature / K]]+(1800*5),Coils[Temperature / K],Coils[Coil],"",1)</f>
        <v>Tritanium</v>
      </c>
      <c r="N7" s="1" t="s">
        <v>3</v>
      </c>
      <c r="O7" s="1" t="s">
        <v>79</v>
      </c>
      <c r="P7" s="2">
        <f>IFERROR(_xlfn.XLOOKUP(EBF[[#This Row],[Coils]],Coils[Coil],Coils[Temperature / K],"",1)+((_xlfn.XLOOKUP(EBF[[#This Row],[Energy hatch]],Voltage[Voltage],Voltage[Voltage tier],"",0)-1)*100),"")</f>
        <v>5500</v>
      </c>
      <c r="Q7" s="5">
        <f>IFERROR(0.95^ROUNDDOWN((EBF[[#This Row],[Heat capacity / K]]-EBF[[#This Row],[Base Temperature / K]])/900,0),"")</f>
        <v>0.81450624999999999</v>
      </c>
      <c r="R7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390.96299999999997</v>
      </c>
      <c r="S7" s="2">
        <f>EBF[[#This Row],[EU/t]]*4</f>
        <v>1563.8519999999999</v>
      </c>
      <c r="T7" s="4">
        <f>IFERROR(1/(2^ROUNDDOWN((EBF[[#This Row],[Heat capacity / K]]-EBF[[#This Row],[Base Temperature / K]])/1800,0)),"")</f>
        <v>0.25</v>
      </c>
      <c r="U7" s="4">
        <f>IFERROR(1/2^(_xlfn.XLOOKUP(EBF[[#This Row],[Energy hatch]],Voltage[Voltage],Voltage[Voltage tier],"",0)-(_xlfn.XLOOKUP(EBF[[#This Row],[Base voltage]],Voltage[Voltage],Voltage[Voltage tier],"",0))),"")</f>
        <v>0.5</v>
      </c>
      <c r="V7">
        <f>IFERROR(EBF[[#This Row],[Coil overclock ]]*EBF[[#This Row],[Energy overclock]],"")</f>
        <v>0.125</v>
      </c>
      <c r="W7" s="8">
        <f>IFERROR(IF(ROUNDDOWN(EBF[[#This Row],[Total OC]]*EBF[[#This Row],[Base duration / s]],1)&lt;0.1,0.1,ROUNDDOWN(EBF[[#This Row],[Total OC]]*EBF[[#This Row],[Base duration / s]],1)),"")</f>
        <v>7.5</v>
      </c>
    </row>
    <row r="8" spans="2:23" x14ac:dyDescent="0.25">
      <c r="B8" s="3" t="s">
        <v>39</v>
      </c>
      <c r="C8" s="2">
        <v>120</v>
      </c>
      <c r="D8" s="1" t="str">
        <f>_xlfn.XLOOKUP(EBF[[#This Row],[Base EU/T]],Voltage[Voltage / V],Voltage[Voltage],"",1)</f>
        <v>MV</v>
      </c>
      <c r="E8" s="2">
        <v>20</v>
      </c>
      <c r="F8" s="2">
        <v>1250</v>
      </c>
      <c r="G8" s="1" t="s">
        <v>40</v>
      </c>
      <c r="H8" s="1" t="str">
        <f>_xlfn.XLOOKUP(EBF[[#This Row],[Base Temperature / K]],Coils[Temperature / K],Coils[Coil],"",1)</f>
        <v>Cupronickel</v>
      </c>
      <c r="I8" s="1" t="str">
        <f>_xlfn.XLOOKUP(EBF[[#This Row],[Base Temperature / K]]+(1800*1),Coils[Temperature / K],Coils[Coil],"",1)</f>
        <v>Nichrome</v>
      </c>
      <c r="J8" s="1" t="str">
        <f>_xlfn.XLOOKUP(EBF[[#This Row],[Base Temperature / K]]+(1800*2),Coils[Temperature / K],Coils[Coil],"",1)</f>
        <v>HSS-G</v>
      </c>
      <c r="K8" s="1" t="str">
        <f>_xlfn.XLOOKUP(EBF[[#This Row],[Base Temperature / K]]+(1800*3),Coils[Temperature / K],Coils[Coil],"",1)</f>
        <v>Naquadah</v>
      </c>
      <c r="L8" s="1" t="str">
        <f>_xlfn.XLOOKUP(EBF[[#This Row],[Base Temperature / K]]+(1800*4),Coils[Temperature / K],Coils[Coil],"",1)</f>
        <v>Trinium</v>
      </c>
      <c r="M8" s="1" t="str">
        <f>_xlfn.XLOOKUP(EBF[[#This Row],[Base Temperature / K]]+(1800*5),Coils[Temperature / K],Coils[Coil],"",1)</f>
        <v>Tritanium</v>
      </c>
      <c r="N8" s="1" t="s">
        <v>3</v>
      </c>
      <c r="O8" s="1" t="s">
        <v>79</v>
      </c>
      <c r="P8" s="2">
        <f>IFERROR(_xlfn.XLOOKUP(EBF[[#This Row],[Coils]],Coils[Coil],Coils[Temperature / K],"",1)+((_xlfn.XLOOKUP(EBF[[#This Row],[Energy hatch]],Voltage[Voltage],Voltage[Voltage tier],"",0)-1)*100),"")</f>
        <v>5500</v>
      </c>
      <c r="Q8" s="5">
        <f>IFERROR(0.95^ROUNDDOWN((EBF[[#This Row],[Heat capacity / K]]-EBF[[#This Row],[Base Temperature / K]])/900,0),"")</f>
        <v>0.81450624999999999</v>
      </c>
      <c r="R8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390.96299999999997</v>
      </c>
      <c r="S8" s="2">
        <f>EBF[[#This Row],[EU/t]]*4</f>
        <v>1563.8519999999999</v>
      </c>
      <c r="T8" s="4">
        <f>IFERROR(1/(2^ROUNDDOWN((EBF[[#This Row],[Heat capacity / K]]-EBF[[#This Row],[Base Temperature / K]])/1800,0)),"")</f>
        <v>0.25</v>
      </c>
      <c r="U8" s="4">
        <f>IFERROR(1/2^(_xlfn.XLOOKUP(EBF[[#This Row],[Energy hatch]],Voltage[Voltage],Voltage[Voltage tier],"",0)-(_xlfn.XLOOKUP(EBF[[#This Row],[Base voltage]],Voltage[Voltage],Voltage[Voltage tier],"",0))),"")</f>
        <v>0.5</v>
      </c>
      <c r="V8">
        <f>IFERROR(EBF[[#This Row],[Coil overclock ]]*EBF[[#This Row],[Energy overclock]],"")</f>
        <v>0.125</v>
      </c>
      <c r="W8" s="8">
        <f>IFERROR(IF(ROUNDDOWN(EBF[[#This Row],[Total OC]]*EBF[[#This Row],[Base duration / s]],1)&lt;0.1,0.1,ROUNDDOWN(EBF[[#This Row],[Total OC]]*EBF[[#This Row],[Base duration / s]],1)),"")</f>
        <v>2.5</v>
      </c>
    </row>
    <row r="9" spans="2:23" x14ac:dyDescent="0.25">
      <c r="B9" s="3" t="s">
        <v>96</v>
      </c>
      <c r="C9" s="2">
        <v>120</v>
      </c>
      <c r="D9" s="1" t="str">
        <f>_xlfn.XLOOKUP(EBF[[#This Row],[Base EU/T]],Voltage[Voltage / V],Voltage[Voltage],"",1)</f>
        <v>MV</v>
      </c>
      <c r="E9" s="2">
        <v>186.75</v>
      </c>
      <c r="F9" s="2">
        <v>1297</v>
      </c>
      <c r="G9" s="1" t="s">
        <v>36</v>
      </c>
      <c r="H9" s="1" t="str">
        <f>_xlfn.XLOOKUP(EBF[[#This Row],[Base Temperature / K]],Coils[Temperature / K],Coils[Coil],"",1)</f>
        <v>Cupronickel</v>
      </c>
      <c r="I9" s="1" t="str">
        <f>_xlfn.XLOOKUP(EBF[[#This Row],[Base Temperature / K]]+(1800*1),Coils[Temperature / K],Coils[Coil],"",1)</f>
        <v>Nichrome</v>
      </c>
      <c r="J9" s="1" t="str">
        <f>_xlfn.XLOOKUP(EBF[[#This Row],[Base Temperature / K]]+(1800*2),Coils[Temperature / K],Coils[Coil],"",1)</f>
        <v>HSS-G</v>
      </c>
      <c r="K9" s="1" t="str">
        <f>_xlfn.XLOOKUP(EBF[[#This Row],[Base Temperature / K]]+(1800*3),Coils[Temperature / K],Coils[Coil],"",1)</f>
        <v>Naquadah</v>
      </c>
      <c r="L9" s="1" t="str">
        <f>_xlfn.XLOOKUP(EBF[[#This Row],[Base Temperature / K]]+(1800*4),Coils[Temperature / K],Coils[Coil],"",1)</f>
        <v>Trinium</v>
      </c>
      <c r="M9" s="1" t="str">
        <f>_xlfn.XLOOKUP(EBF[[#This Row],[Base Temperature / K]]+(1800*5),Coils[Temperature / K],Coils[Coil],"",1)</f>
        <v>Tritanium</v>
      </c>
      <c r="N9" s="1" t="s">
        <v>3</v>
      </c>
      <c r="O9" s="1" t="s">
        <v>79</v>
      </c>
      <c r="P9" s="2">
        <f>IFERROR(_xlfn.XLOOKUP(EBF[[#This Row],[Coils]],Coils[Coil],Coils[Temperature / K],"",1)+((_xlfn.XLOOKUP(EBF[[#This Row],[Energy hatch]],Voltage[Voltage],Voltage[Voltage tier],"",0)-1)*100),"")</f>
        <v>5500</v>
      </c>
      <c r="Q9" s="5">
        <f>IFERROR(0.95^ROUNDDOWN((EBF[[#This Row],[Heat capacity / K]]-EBF[[#This Row],[Base Temperature / K]])/900,0),"")</f>
        <v>0.81450624999999999</v>
      </c>
      <c r="R9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390.96299999999997</v>
      </c>
      <c r="S9" s="2">
        <f>EBF[[#This Row],[EU/t]]*4</f>
        <v>1563.8519999999999</v>
      </c>
      <c r="T9" s="4">
        <f>IFERROR(1/(2^ROUNDDOWN((EBF[[#This Row],[Heat capacity / K]]-EBF[[#This Row],[Base Temperature / K]])/1800,0)),"")</f>
        <v>0.25</v>
      </c>
      <c r="U9" s="4">
        <f>IFERROR(1/2^(_xlfn.XLOOKUP(EBF[[#This Row],[Energy hatch]],Voltage[Voltage],Voltage[Voltage tier],"",0)-(_xlfn.XLOOKUP(EBF[[#This Row],[Base voltage]],Voltage[Voltage],Voltage[Voltage tier],"",0))),"")</f>
        <v>0.5</v>
      </c>
      <c r="V9">
        <f>IFERROR(EBF[[#This Row],[Coil overclock ]]*EBF[[#This Row],[Energy overclock]],"")</f>
        <v>0.125</v>
      </c>
      <c r="W9" s="8">
        <f>IFERROR(IF(ROUNDDOWN(EBF[[#This Row],[Total OC]]*EBF[[#This Row],[Base duration / s]],1)&lt;0.1,0.1,ROUNDDOWN(EBF[[#This Row],[Total OC]]*EBF[[#This Row],[Base duration / s]],1)),"")</f>
        <v>23.3</v>
      </c>
    </row>
    <row r="10" spans="2:23" x14ac:dyDescent="0.25">
      <c r="B10" s="3" t="s">
        <v>61</v>
      </c>
      <c r="C10" s="2">
        <v>480</v>
      </c>
      <c r="D10" s="1" t="str">
        <f>_xlfn.XLOOKUP(EBF[[#This Row],[Base EU/T]],Voltage[Voltage / V],Voltage[Voltage],"",1)</f>
        <v>HV</v>
      </c>
      <c r="E10" s="2">
        <v>50</v>
      </c>
      <c r="F10" s="2">
        <v>1300</v>
      </c>
      <c r="G10" s="1" t="s">
        <v>40</v>
      </c>
      <c r="H10" s="1" t="str">
        <f>_xlfn.XLOOKUP(EBF[[#This Row],[Base Temperature / K]],Coils[Temperature / K],Coils[Coil],"",1)</f>
        <v>Cupronickel</v>
      </c>
      <c r="I10" s="1" t="str">
        <f>_xlfn.XLOOKUP(EBF[[#This Row],[Base Temperature / K]]+(1800*1),Coils[Temperature / K],Coils[Coil],"",1)</f>
        <v>Nichrome</v>
      </c>
      <c r="J10" s="1" t="str">
        <f>_xlfn.XLOOKUP(EBF[[#This Row],[Base Temperature / K]]+(1800*2),Coils[Temperature / K],Coils[Coil],"",1)</f>
        <v>HSS-G</v>
      </c>
      <c r="K10" s="1" t="str">
        <f>_xlfn.XLOOKUP(EBF[[#This Row],[Base Temperature / K]]+(1800*3),Coils[Temperature / K],Coils[Coil],"",1)</f>
        <v>Naquadah</v>
      </c>
      <c r="L10" s="1" t="str">
        <f>_xlfn.XLOOKUP(EBF[[#This Row],[Base Temperature / K]]+(1800*4),Coils[Temperature / K],Coils[Coil],"",1)</f>
        <v>Trinium</v>
      </c>
      <c r="M10" s="1" t="str">
        <f>_xlfn.XLOOKUP(EBF[[#This Row],[Base Temperature / K]]+(1800*5),Coils[Temperature / K],Coils[Coil],"",1)</f>
        <v>Tritanium</v>
      </c>
      <c r="N10" s="1" t="s">
        <v>3</v>
      </c>
      <c r="O10" s="1" t="s">
        <v>79</v>
      </c>
      <c r="P10" s="2">
        <f>IFERROR(_xlfn.XLOOKUP(EBF[[#This Row],[Coils]],Coils[Coil],Coils[Temperature / K],"",1)+((_xlfn.XLOOKUP(EBF[[#This Row],[Energy hatch]],Voltage[Voltage],Voltage[Voltage tier],"",0)-1)*100),"")</f>
        <v>5500</v>
      </c>
      <c r="Q10" s="5">
        <f>IFERROR(0.95^ROUNDDOWN((EBF[[#This Row],[Heat capacity / K]]-EBF[[#This Row],[Base Temperature / K]])/900,0),"")</f>
        <v>0.81450624999999999</v>
      </c>
      <c r="R10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390.96299999999997</v>
      </c>
      <c r="S10" s="2">
        <f>EBF[[#This Row],[EU/t]]*4</f>
        <v>1563.8519999999999</v>
      </c>
      <c r="T10" s="4">
        <f>IFERROR(1/(2^ROUNDDOWN((EBF[[#This Row],[Heat capacity / K]]-EBF[[#This Row],[Base Temperature / K]])/1800,0)),"")</f>
        <v>0.25</v>
      </c>
      <c r="U10" s="4">
        <f>IFERROR(1/2^(_xlfn.XLOOKUP(EBF[[#This Row],[Energy hatch]],Voltage[Voltage],Voltage[Voltage tier],"",0)-(_xlfn.XLOOKUP(EBF[[#This Row],[Base voltage]],Voltage[Voltage],Voltage[Voltage tier],"",0))),"")</f>
        <v>1</v>
      </c>
      <c r="V10">
        <f>IFERROR(EBF[[#This Row],[Coil overclock ]]*EBF[[#This Row],[Energy overclock]],"")</f>
        <v>0.25</v>
      </c>
      <c r="W10" s="8">
        <f>IFERROR(IF(ROUNDDOWN(EBF[[#This Row],[Total OC]]*EBF[[#This Row],[Base duration / s]],1)&lt;0.1,0.1,ROUNDDOWN(EBF[[#This Row],[Total OC]]*EBF[[#This Row],[Base duration / s]],1)),"")</f>
        <v>12.5</v>
      </c>
    </row>
    <row r="11" spans="2:23" x14ac:dyDescent="0.25">
      <c r="B11" s="3" t="s">
        <v>60</v>
      </c>
      <c r="C11" s="2">
        <v>480</v>
      </c>
      <c r="D11" s="1" t="str">
        <f>_xlfn.XLOOKUP(EBF[[#This Row],[Base EU/T]],Voltage[Voltage / V],Voltage[Voltage],"",1)</f>
        <v>HV</v>
      </c>
      <c r="E11" s="2">
        <v>50</v>
      </c>
      <c r="F11" s="2">
        <v>1300</v>
      </c>
      <c r="G11" s="1" t="s">
        <v>40</v>
      </c>
      <c r="H11" s="1" t="str">
        <f>_xlfn.XLOOKUP(EBF[[#This Row],[Base Temperature / K]],Coils[Temperature / K],Coils[Coil],"",1)</f>
        <v>Cupronickel</v>
      </c>
      <c r="I11" s="1" t="str">
        <f>_xlfn.XLOOKUP(EBF[[#This Row],[Base Temperature / K]]+(1800*1),Coils[Temperature / K],Coils[Coil],"",1)</f>
        <v>Nichrome</v>
      </c>
      <c r="J11" s="1" t="str">
        <f>_xlfn.XLOOKUP(EBF[[#This Row],[Base Temperature / K]]+(1800*2),Coils[Temperature / K],Coils[Coil],"",1)</f>
        <v>HSS-G</v>
      </c>
      <c r="K11" s="1" t="str">
        <f>_xlfn.XLOOKUP(EBF[[#This Row],[Base Temperature / K]]+(1800*3),Coils[Temperature / K],Coils[Coil],"",1)</f>
        <v>Naquadah</v>
      </c>
      <c r="L11" s="1" t="str">
        <f>_xlfn.XLOOKUP(EBF[[#This Row],[Base Temperature / K]]+(1800*4),Coils[Temperature / K],Coils[Coil],"",1)</f>
        <v>Trinium</v>
      </c>
      <c r="M11" s="1" t="str">
        <f>_xlfn.XLOOKUP(EBF[[#This Row],[Base Temperature / K]]+(1800*5),Coils[Temperature / K],Coils[Coil],"",1)</f>
        <v>Tritanium</v>
      </c>
      <c r="N11" s="1" t="s">
        <v>3</v>
      </c>
      <c r="O11" s="1" t="s">
        <v>79</v>
      </c>
      <c r="P11" s="2">
        <f>IFERROR(_xlfn.XLOOKUP(EBF[[#This Row],[Coils]],Coils[Coil],Coils[Temperature / K],"",1)+((_xlfn.XLOOKUP(EBF[[#This Row],[Energy hatch]],Voltage[Voltage],Voltage[Voltage tier],"",0)-1)*100),"")</f>
        <v>5500</v>
      </c>
      <c r="Q11" s="5">
        <f>IFERROR(0.95^ROUNDDOWN((EBF[[#This Row],[Heat capacity / K]]-EBF[[#This Row],[Base Temperature / K]])/900,0),"")</f>
        <v>0.81450624999999999</v>
      </c>
      <c r="R11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390.96299999999997</v>
      </c>
      <c r="S11" s="2">
        <f>EBF[[#This Row],[EU/t]]*4</f>
        <v>1563.8519999999999</v>
      </c>
      <c r="T11" s="4">
        <f>IFERROR(1/(2^ROUNDDOWN((EBF[[#This Row],[Heat capacity / K]]-EBF[[#This Row],[Base Temperature / K]])/1800,0)),"")</f>
        <v>0.25</v>
      </c>
      <c r="U11" s="4">
        <f>IFERROR(1/2^(_xlfn.XLOOKUP(EBF[[#This Row],[Energy hatch]],Voltage[Voltage],Voltage[Voltage tier],"",0)-(_xlfn.XLOOKUP(EBF[[#This Row],[Base voltage]],Voltage[Voltage],Voltage[Voltage tier],"",0))),"")</f>
        <v>1</v>
      </c>
      <c r="V11">
        <f>IFERROR(EBF[[#This Row],[Coil overclock ]]*EBF[[#This Row],[Energy overclock]],"")</f>
        <v>0.25</v>
      </c>
      <c r="W11" s="8">
        <f>IFERROR(IF(ROUNDDOWN(EBF[[#This Row],[Total OC]]*EBF[[#This Row],[Base duration / s]],1)&lt;0.1,0.1,ROUNDDOWN(EBF[[#This Row],[Total OC]]*EBF[[#This Row],[Base duration / s]],1)),"")</f>
        <v>12.5</v>
      </c>
    </row>
    <row r="12" spans="2:23" x14ac:dyDescent="0.25">
      <c r="B12" s="3" t="s">
        <v>44</v>
      </c>
      <c r="C12" s="2">
        <v>120</v>
      </c>
      <c r="D12" s="1" t="str">
        <f>_xlfn.XLOOKUP(EBF[[#This Row],[Base EU/T]],Voltage[Voltage / V],Voltage[Voltage],"",1)</f>
        <v>MV</v>
      </c>
      <c r="E12" s="2">
        <v>30</v>
      </c>
      <c r="F12" s="2">
        <v>1350</v>
      </c>
      <c r="G12" s="1" t="s">
        <v>40</v>
      </c>
      <c r="H12" s="1" t="str">
        <f>_xlfn.XLOOKUP(EBF[[#This Row],[Base Temperature / K]],Coils[Temperature / K],Coils[Coil],"",1)</f>
        <v>Cupronickel</v>
      </c>
      <c r="I12" s="1" t="str">
        <f>_xlfn.XLOOKUP(EBF[[#This Row],[Base Temperature / K]]+(1800*1),Coils[Temperature / K],Coils[Coil],"",1)</f>
        <v>Nichrome</v>
      </c>
      <c r="J12" s="1" t="str">
        <f>_xlfn.XLOOKUP(EBF[[#This Row],[Base Temperature / K]]+(1800*2),Coils[Temperature / K],Coils[Coil],"",1)</f>
        <v>HSS-G</v>
      </c>
      <c r="K12" s="1" t="str">
        <f>_xlfn.XLOOKUP(EBF[[#This Row],[Base Temperature / K]]+(1800*3),Coils[Temperature / K],Coils[Coil],"",1)</f>
        <v>Naquadah</v>
      </c>
      <c r="L12" s="1" t="str">
        <f>_xlfn.XLOOKUP(EBF[[#This Row],[Base Temperature / K]]+(1800*4),Coils[Temperature / K],Coils[Coil],"",1)</f>
        <v>Trinium</v>
      </c>
      <c r="M12" s="1" t="str">
        <f>_xlfn.XLOOKUP(EBF[[#This Row],[Base Temperature / K]]+(1800*5),Coils[Temperature / K],Coils[Coil],"",1)</f>
        <v>Tritanium</v>
      </c>
      <c r="N12" s="1" t="s">
        <v>3</v>
      </c>
      <c r="O12" s="1" t="s">
        <v>79</v>
      </c>
      <c r="P12" s="2">
        <f>IFERROR(_xlfn.XLOOKUP(EBF[[#This Row],[Coils]],Coils[Coil],Coils[Temperature / K],"",1)+((_xlfn.XLOOKUP(EBF[[#This Row],[Energy hatch]],Voltage[Voltage],Voltage[Voltage tier],"",0)-1)*100),"")</f>
        <v>5500</v>
      </c>
      <c r="Q12" s="5">
        <f>IFERROR(0.95^ROUNDDOWN((EBF[[#This Row],[Heat capacity / K]]-EBF[[#This Row],[Base Temperature / K]])/900,0),"")</f>
        <v>0.81450624999999999</v>
      </c>
      <c r="R12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390.96299999999997</v>
      </c>
      <c r="S12" s="2">
        <f>EBF[[#This Row],[EU/t]]*4</f>
        <v>1563.8519999999999</v>
      </c>
      <c r="T12" s="4">
        <f>IFERROR(1/(2^ROUNDDOWN((EBF[[#This Row],[Heat capacity / K]]-EBF[[#This Row],[Base Temperature / K]])/1800,0)),"")</f>
        <v>0.25</v>
      </c>
      <c r="U12" s="4">
        <f>IFERROR(1/2^(_xlfn.XLOOKUP(EBF[[#This Row],[Energy hatch]],Voltage[Voltage],Voltage[Voltage tier],"",0)-(_xlfn.XLOOKUP(EBF[[#This Row],[Base voltage]],Voltage[Voltage],Voltage[Voltage tier],"",0))),"")</f>
        <v>0.5</v>
      </c>
      <c r="V12">
        <f>IFERROR(EBF[[#This Row],[Coil overclock ]]*EBF[[#This Row],[Energy overclock]],"")</f>
        <v>0.125</v>
      </c>
      <c r="W12" s="8">
        <f>IFERROR(IF(ROUNDDOWN(EBF[[#This Row],[Total OC]]*EBF[[#This Row],[Base duration / s]],1)&lt;0.1,0.1,ROUNDDOWN(EBF[[#This Row],[Total OC]]*EBF[[#This Row],[Base duration / s]],1)),"")</f>
        <v>3.7</v>
      </c>
    </row>
    <row r="13" spans="2:23" x14ac:dyDescent="0.25">
      <c r="B13" s="3" t="s">
        <v>91</v>
      </c>
      <c r="C13" s="2">
        <v>120</v>
      </c>
      <c r="D13" s="1" t="str">
        <f>_xlfn.XLOOKUP(EBF[[#This Row],[Base EU/T]],Voltage[Voltage / V],Voltage[Voltage],"",1)</f>
        <v>MV</v>
      </c>
      <c r="E13" s="2">
        <v>79.900000000000006</v>
      </c>
      <c r="F13" s="2">
        <v>1453</v>
      </c>
      <c r="G13" s="1" t="s">
        <v>40</v>
      </c>
      <c r="H13" s="1" t="str">
        <f>_xlfn.XLOOKUP(EBF[[#This Row],[Base Temperature / K]],Coils[Temperature / K],Coils[Coil],"",1)</f>
        <v>Cupronickel</v>
      </c>
      <c r="I13" s="1" t="str">
        <f>_xlfn.XLOOKUP(EBF[[#This Row],[Base Temperature / K]]+(1800*1),Coils[Temperature / K],Coils[Coil],"",1)</f>
        <v>Nichrome</v>
      </c>
      <c r="J13" s="1" t="str">
        <f>_xlfn.XLOOKUP(EBF[[#This Row],[Base Temperature / K]]+(1800*2),Coils[Temperature / K],Coils[Coil],"",1)</f>
        <v>HSS-G</v>
      </c>
      <c r="K13" s="1" t="str">
        <f>_xlfn.XLOOKUP(EBF[[#This Row],[Base Temperature / K]]+(1800*3),Coils[Temperature / K],Coils[Coil],"",1)</f>
        <v>Naquadah</v>
      </c>
      <c r="L13" s="1" t="str">
        <f>_xlfn.XLOOKUP(EBF[[#This Row],[Base Temperature / K]]+(1800*4),Coils[Temperature / K],Coils[Coil],"",1)</f>
        <v>Trinium</v>
      </c>
      <c r="M13" s="1" t="str">
        <f>_xlfn.XLOOKUP(EBF[[#This Row],[Base Temperature / K]]+(1800*5),Coils[Temperature / K],Coils[Coil],"",1)</f>
        <v>Tritanium</v>
      </c>
      <c r="N13" s="1" t="s">
        <v>3</v>
      </c>
      <c r="O13" s="1" t="s">
        <v>79</v>
      </c>
      <c r="P13" s="2">
        <f>IFERROR(_xlfn.XLOOKUP(EBF[[#This Row],[Coils]],Coils[Coil],Coils[Temperature / K],"",1)+((_xlfn.XLOOKUP(EBF[[#This Row],[Energy hatch]],Voltage[Voltage],Voltage[Voltage tier],"",0)-1)*100),"")</f>
        <v>5500</v>
      </c>
      <c r="Q13" s="5">
        <f>IFERROR(0.95^ROUNDDOWN((EBF[[#This Row],[Heat capacity / K]]-EBF[[#This Row],[Base Temperature / K]])/900,0),"")</f>
        <v>0.81450624999999999</v>
      </c>
      <c r="R13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390.96299999999997</v>
      </c>
      <c r="S13" s="2">
        <f>EBF[[#This Row],[EU/t]]*4</f>
        <v>1563.8519999999999</v>
      </c>
      <c r="T13" s="4">
        <f>IFERROR(1/(2^ROUNDDOWN((EBF[[#This Row],[Heat capacity / K]]-EBF[[#This Row],[Base Temperature / K]])/1800,0)),"")</f>
        <v>0.25</v>
      </c>
      <c r="U13" s="4">
        <f>IFERROR(1/2^(_xlfn.XLOOKUP(EBF[[#This Row],[Energy hatch]],Voltage[Voltage],Voltage[Voltage tier],"",0)-(_xlfn.XLOOKUP(EBF[[#This Row],[Base voltage]],Voltage[Voltage],Voltage[Voltage tier],"",0))),"")</f>
        <v>0.5</v>
      </c>
      <c r="V13">
        <f>IFERROR(EBF[[#This Row],[Coil overclock ]]*EBF[[#This Row],[Energy overclock]],"")</f>
        <v>0.125</v>
      </c>
      <c r="W13" s="8">
        <f>IFERROR(IF(ROUNDDOWN(EBF[[#This Row],[Total OC]]*EBF[[#This Row],[Base duration / s]],1)&lt;0.1,0.1,ROUNDDOWN(EBF[[#This Row],[Total OC]]*EBF[[#This Row],[Base duration / s]],1)),"")</f>
        <v>9.9</v>
      </c>
    </row>
    <row r="14" spans="2:23" x14ac:dyDescent="0.25">
      <c r="B14" s="3" t="s">
        <v>41</v>
      </c>
      <c r="C14" s="2">
        <v>120</v>
      </c>
      <c r="D14" s="1" t="str">
        <f>_xlfn.XLOOKUP(EBF[[#This Row],[Base EU/T]],Voltage[Voltage / V],Voltage[Voltage],"",1)</f>
        <v>MV</v>
      </c>
      <c r="E14" s="2">
        <v>20</v>
      </c>
      <c r="F14" s="2">
        <v>1500</v>
      </c>
      <c r="G14" s="1" t="s">
        <v>40</v>
      </c>
      <c r="H14" s="1" t="str">
        <f>_xlfn.XLOOKUP(EBF[[#This Row],[Base Temperature / K]],Coils[Temperature / K],Coils[Coil],"",1)</f>
        <v>Cupronickel</v>
      </c>
      <c r="I14" s="1" t="str">
        <f>_xlfn.XLOOKUP(EBF[[#This Row],[Base Temperature / K]]+(1800*1),Coils[Temperature / K],Coils[Coil],"",1)</f>
        <v>Nichrome</v>
      </c>
      <c r="J14" s="1" t="str">
        <f>_xlfn.XLOOKUP(EBF[[#This Row],[Base Temperature / K]]+(1800*2),Coils[Temperature / K],Coils[Coil],"",1)</f>
        <v>HSS-G</v>
      </c>
      <c r="K14" s="1" t="str">
        <f>_xlfn.XLOOKUP(EBF[[#This Row],[Base Temperature / K]]+(1800*3),Coils[Temperature / K],Coils[Coil],"",1)</f>
        <v>Naquadah</v>
      </c>
      <c r="L14" s="1" t="str">
        <f>_xlfn.XLOOKUP(EBF[[#This Row],[Base Temperature / K]]+(1800*4),Coils[Temperature / K],Coils[Coil],"",1)</f>
        <v>Trinium</v>
      </c>
      <c r="M14" s="1" t="str">
        <f>_xlfn.XLOOKUP(EBF[[#This Row],[Base Temperature / K]]+(1800*5),Coils[Temperature / K],Coils[Coil],"",1)</f>
        <v>Tritanium</v>
      </c>
      <c r="N14" s="1" t="s">
        <v>3</v>
      </c>
      <c r="O14" s="1" t="s">
        <v>79</v>
      </c>
      <c r="P14" s="2">
        <f>IFERROR(_xlfn.XLOOKUP(EBF[[#This Row],[Coils]],Coils[Coil],Coils[Temperature / K],"",1)+((_xlfn.XLOOKUP(EBF[[#This Row],[Energy hatch]],Voltage[Voltage],Voltage[Voltage tier],"",0)-1)*100),"")</f>
        <v>5500</v>
      </c>
      <c r="Q14" s="5">
        <f>IFERROR(0.95^ROUNDDOWN((EBF[[#This Row],[Heat capacity / K]]-EBF[[#This Row],[Base Temperature / K]])/900,0),"")</f>
        <v>0.81450624999999999</v>
      </c>
      <c r="R14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390.96299999999997</v>
      </c>
      <c r="S14" s="2">
        <f>EBF[[#This Row],[EU/t]]*4</f>
        <v>1563.8519999999999</v>
      </c>
      <c r="T14" s="4">
        <f>IFERROR(1/(2^ROUNDDOWN((EBF[[#This Row],[Heat capacity / K]]-EBF[[#This Row],[Base Temperature / K]])/1800,0)),"")</f>
        <v>0.25</v>
      </c>
      <c r="U14" s="4">
        <f>IFERROR(1/2^(_xlfn.XLOOKUP(EBF[[#This Row],[Energy hatch]],Voltage[Voltage],Voltage[Voltage tier],"",0)-(_xlfn.XLOOKUP(EBF[[#This Row],[Base voltage]],Voltage[Voltage],Voltage[Voltage tier],"",0))),"")</f>
        <v>0.5</v>
      </c>
      <c r="V14">
        <f>IFERROR(EBF[[#This Row],[Coil overclock ]]*EBF[[#This Row],[Energy overclock]],"")</f>
        <v>0.125</v>
      </c>
      <c r="W14" s="8">
        <f>IFERROR(IF(ROUNDDOWN(EBF[[#This Row],[Total OC]]*EBF[[#This Row],[Base duration / s]],1)&lt;0.1,0.1,ROUNDDOWN(EBF[[#This Row],[Total OC]]*EBF[[#This Row],[Base duration / s]],1)),"")</f>
        <v>2.5</v>
      </c>
    </row>
    <row r="15" spans="2:23" x14ac:dyDescent="0.25">
      <c r="B15" s="3" t="s">
        <v>42</v>
      </c>
      <c r="C15" s="2">
        <v>120</v>
      </c>
      <c r="D15" s="1" t="str">
        <f>_xlfn.XLOOKUP(EBF[[#This Row],[Base EU/T]],Voltage[Voltage / V],Voltage[Voltage],"",1)</f>
        <v>MV</v>
      </c>
      <c r="E15" s="2">
        <v>30</v>
      </c>
      <c r="F15" s="2">
        <v>1500</v>
      </c>
      <c r="G15" s="1" t="s">
        <v>40</v>
      </c>
      <c r="H15" s="1" t="str">
        <f>_xlfn.XLOOKUP(EBF[[#This Row],[Base Temperature / K]],Coils[Temperature / K],Coils[Coil],"",1)</f>
        <v>Cupronickel</v>
      </c>
      <c r="I15" s="1" t="str">
        <f>_xlfn.XLOOKUP(EBF[[#This Row],[Base Temperature / K]]+(1800*1),Coils[Temperature / K],Coils[Coil],"",1)</f>
        <v>Nichrome</v>
      </c>
      <c r="J15" s="1" t="str">
        <f>_xlfn.XLOOKUP(EBF[[#This Row],[Base Temperature / K]]+(1800*2),Coils[Temperature / K],Coils[Coil],"",1)</f>
        <v>HSS-G</v>
      </c>
      <c r="K15" s="1" t="str">
        <f>_xlfn.XLOOKUP(EBF[[#This Row],[Base Temperature / K]]+(1800*3),Coils[Temperature / K],Coils[Coil],"",1)</f>
        <v>Naquadah</v>
      </c>
      <c r="L15" s="1" t="str">
        <f>_xlfn.XLOOKUP(EBF[[#This Row],[Base Temperature / K]]+(1800*4),Coils[Temperature / K],Coils[Coil],"",1)</f>
        <v>Trinium</v>
      </c>
      <c r="M15" s="1" t="str">
        <f>_xlfn.XLOOKUP(EBF[[#This Row],[Base Temperature / K]]+(1800*5),Coils[Temperature / K],Coils[Coil],"",1)</f>
        <v>Tritanium</v>
      </c>
      <c r="N15" s="1" t="s">
        <v>3</v>
      </c>
      <c r="O15" s="1" t="s">
        <v>79</v>
      </c>
      <c r="P15" s="2">
        <f>IFERROR(_xlfn.XLOOKUP(EBF[[#This Row],[Coils]],Coils[Coil],Coils[Temperature / K],"",1)+((_xlfn.XLOOKUP(EBF[[#This Row],[Energy hatch]],Voltage[Voltage],Voltage[Voltage tier],"",0)-1)*100),"")</f>
        <v>5500</v>
      </c>
      <c r="Q15" s="5">
        <f>IFERROR(0.95^ROUNDDOWN((EBF[[#This Row],[Heat capacity / K]]-EBF[[#This Row],[Base Temperature / K]])/900,0),"")</f>
        <v>0.81450624999999999</v>
      </c>
      <c r="R15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390.96299999999997</v>
      </c>
      <c r="S15" s="2">
        <f>EBF[[#This Row],[EU/t]]*4</f>
        <v>1563.8519999999999</v>
      </c>
      <c r="T15" s="4">
        <f>IFERROR(1/(2^ROUNDDOWN((EBF[[#This Row],[Heat capacity / K]]-EBF[[#This Row],[Base Temperature / K]])/1800,0)),"")</f>
        <v>0.25</v>
      </c>
      <c r="U15" s="4">
        <f>IFERROR(1/2^(_xlfn.XLOOKUP(EBF[[#This Row],[Energy hatch]],Voltage[Voltage],Voltage[Voltage tier],"",0)-(_xlfn.XLOOKUP(EBF[[#This Row],[Base voltage]],Voltage[Voltage],Voltage[Voltage tier],"",0))),"")</f>
        <v>0.5</v>
      </c>
      <c r="V15">
        <f>IFERROR(EBF[[#This Row],[Coil overclock ]]*EBF[[#This Row],[Energy overclock]],"")</f>
        <v>0.125</v>
      </c>
      <c r="W15" s="8">
        <f>IFERROR(IF(ROUNDDOWN(EBF[[#This Row],[Total OC]]*EBF[[#This Row],[Base duration / s]],1)&lt;0.1,0.1,ROUNDDOWN(EBF[[#This Row],[Total OC]]*EBF[[#This Row],[Base duration / s]],1)),"")</f>
        <v>3.7</v>
      </c>
    </row>
    <row r="16" spans="2:23" x14ac:dyDescent="0.25">
      <c r="B16" t="s">
        <v>93</v>
      </c>
      <c r="C16" s="2">
        <v>120</v>
      </c>
      <c r="D16" s="1" t="str">
        <f>_xlfn.XLOOKUP(EBF[[#This Row],[Base EU/T]],Voltage[Voltage / V],Voltage[Voltage],"",1)</f>
        <v>MV</v>
      </c>
      <c r="E16" s="2">
        <v>84</v>
      </c>
      <c r="F16" s="2">
        <v>1500</v>
      </c>
      <c r="G16" s="1" t="s">
        <v>40</v>
      </c>
      <c r="H16" s="1" t="str">
        <f>_xlfn.XLOOKUP(EBF[[#This Row],[Base Temperature / K]],Coils[Temperature / K],Coils[Coil],"",1)</f>
        <v>Cupronickel</v>
      </c>
      <c r="I16" s="1" t="str">
        <f>_xlfn.XLOOKUP(EBF[[#This Row],[Base Temperature / K]]+(1800*1),Coils[Temperature / K],Coils[Coil],"",1)</f>
        <v>Nichrome</v>
      </c>
      <c r="J16" s="1" t="str">
        <f>_xlfn.XLOOKUP(EBF[[#This Row],[Base Temperature / K]]+(1800*2),Coils[Temperature / K],Coils[Coil],"",1)</f>
        <v>HSS-G</v>
      </c>
      <c r="K16" s="1" t="str">
        <f>_xlfn.XLOOKUP(EBF[[#This Row],[Base Temperature / K]]+(1800*3),Coils[Temperature / K],Coils[Coil],"",1)</f>
        <v>Naquadah</v>
      </c>
      <c r="L16" s="1" t="str">
        <f>_xlfn.XLOOKUP(EBF[[#This Row],[Base Temperature / K]]+(1800*4),Coils[Temperature / K],Coils[Coil],"",1)</f>
        <v>Trinium</v>
      </c>
      <c r="M16" s="1" t="str">
        <f>_xlfn.XLOOKUP(EBF[[#This Row],[Base Temperature / K]]+(1800*5),Coils[Temperature / K],Coils[Coil],"",1)</f>
        <v>Tritanium</v>
      </c>
      <c r="N16" s="1" t="s">
        <v>3</v>
      </c>
      <c r="O16" s="1" t="s">
        <v>79</v>
      </c>
      <c r="P16" s="2">
        <f>IFERROR(_xlfn.XLOOKUP(EBF[[#This Row],[Coils]],Coils[Coil],Coils[Temperature / K],"",1)+((_xlfn.XLOOKUP(EBF[[#This Row],[Energy hatch]],Voltage[Voltage],Voltage[Voltage tier],"",0)-1)*100),"")</f>
        <v>5500</v>
      </c>
      <c r="Q16" s="5">
        <f>IFERROR(0.95^ROUNDDOWN((EBF[[#This Row],[Heat capacity / K]]-EBF[[#This Row],[Base Temperature / K]])/900,0),"")</f>
        <v>0.81450624999999999</v>
      </c>
      <c r="R16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390.96299999999997</v>
      </c>
      <c r="S16" s="2">
        <f>EBF[[#This Row],[EU/t]]*4</f>
        <v>1563.8519999999999</v>
      </c>
      <c r="T16" s="4">
        <f>IFERROR(1/(2^ROUNDDOWN((EBF[[#This Row],[Heat capacity / K]]-EBF[[#This Row],[Base Temperature / K]])/1800,0)),"")</f>
        <v>0.25</v>
      </c>
      <c r="U16" s="4">
        <f>IFERROR(1/2^(_xlfn.XLOOKUP(EBF[[#This Row],[Energy hatch]],Voltage[Voltage],Voltage[Voltage tier],"",0)-(_xlfn.XLOOKUP(EBF[[#This Row],[Base voltage]],Voltage[Voltage],Voltage[Voltage tier],"",0))),"")</f>
        <v>0.5</v>
      </c>
      <c r="V16">
        <f>IFERROR(EBF[[#This Row],[Coil overclock ]]*EBF[[#This Row],[Energy overclock]],"")</f>
        <v>0.125</v>
      </c>
      <c r="W16" s="8">
        <f>IFERROR(IF(ROUNDDOWN(EBF[[#This Row],[Total OC]]*EBF[[#This Row],[Base duration / s]],1)&lt;0.1,0.1,ROUNDDOWN(EBF[[#This Row],[Total OC]]*EBF[[#This Row],[Base duration / s]],1)),"")</f>
        <v>10.5</v>
      </c>
    </row>
    <row r="17" spans="2:23" x14ac:dyDescent="0.25">
      <c r="B17" t="s">
        <v>56</v>
      </c>
      <c r="C17" s="2">
        <v>120</v>
      </c>
      <c r="D17" s="1" t="str">
        <f>_xlfn.XLOOKUP(EBF[[#This Row],[Base EU/T]],Voltage[Voltage / V],Voltage[Voltage],"",1)</f>
        <v>MV</v>
      </c>
      <c r="E17" s="2">
        <v>50</v>
      </c>
      <c r="F17" s="2">
        <v>1600</v>
      </c>
      <c r="G17" s="1" t="s">
        <v>40</v>
      </c>
      <c r="H17" s="1" t="str">
        <f>_xlfn.XLOOKUP(EBF[[#This Row],[Base Temperature / K]],Coils[Temperature / K],Coils[Coil],"",1)</f>
        <v>Cupronickel</v>
      </c>
      <c r="I17" s="1" t="str">
        <f>_xlfn.XLOOKUP(EBF[[#This Row],[Base Temperature / K]]+(1800*1),Coils[Temperature / K],Coils[Coil],"",1)</f>
        <v>Nichrome</v>
      </c>
      <c r="J17" s="1" t="str">
        <f>_xlfn.XLOOKUP(EBF[[#This Row],[Base Temperature / K]]+(1800*2),Coils[Temperature / K],Coils[Coil],"",1)</f>
        <v>HSS-G</v>
      </c>
      <c r="K17" s="1" t="str">
        <f>_xlfn.XLOOKUP(EBF[[#This Row],[Base Temperature / K]]+(1800*3),Coils[Temperature / K],Coils[Coil],"",1)</f>
        <v>Naquadah</v>
      </c>
      <c r="L17" s="1" t="str">
        <f>_xlfn.XLOOKUP(EBF[[#This Row],[Base Temperature / K]]+(1800*4),Coils[Temperature / K],Coils[Coil],"",1)</f>
        <v>Trinium</v>
      </c>
      <c r="M17" s="1" t="str">
        <f>_xlfn.XLOOKUP(EBF[[#This Row],[Base Temperature / K]]+(1800*5),Coils[Temperature / K],Coils[Coil],"",1)</f>
        <v>Tritanium</v>
      </c>
      <c r="N17" s="1" t="s">
        <v>3</v>
      </c>
      <c r="O17" s="1" t="s">
        <v>79</v>
      </c>
      <c r="P17" s="2">
        <f>IFERROR(_xlfn.XLOOKUP(EBF[[#This Row],[Coils]],Coils[Coil],Coils[Temperature / K],"",1)+((_xlfn.XLOOKUP(EBF[[#This Row],[Energy hatch]],Voltage[Voltage],Voltage[Voltage tier],"",0)-1)*100),"")</f>
        <v>5500</v>
      </c>
      <c r="Q17" s="5">
        <f>IFERROR(0.95^ROUNDDOWN((EBF[[#This Row],[Heat capacity / K]]-EBF[[#This Row],[Base Temperature / K]])/900,0),"")</f>
        <v>0.81450624999999999</v>
      </c>
      <c r="R17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390.96299999999997</v>
      </c>
      <c r="S17" s="2">
        <f>EBF[[#This Row],[EU/t]]*4</f>
        <v>1563.8519999999999</v>
      </c>
      <c r="T17" s="4">
        <f>IFERROR(1/(2^ROUNDDOWN((EBF[[#This Row],[Heat capacity / K]]-EBF[[#This Row],[Base Temperature / K]])/1800,0)),"")</f>
        <v>0.25</v>
      </c>
      <c r="U17" s="4">
        <f>IFERROR(1/2^(_xlfn.XLOOKUP(EBF[[#This Row],[Energy hatch]],Voltage[Voltage],Voltage[Voltage tier],"",0)-(_xlfn.XLOOKUP(EBF[[#This Row],[Base voltage]],Voltage[Voltage],Voltage[Voltage tier],"",0))),"")</f>
        <v>0.5</v>
      </c>
      <c r="V17">
        <f>IFERROR(EBF[[#This Row],[Coil overclock ]]*EBF[[#This Row],[Energy overclock]],"")</f>
        <v>0.125</v>
      </c>
      <c r="W17" s="8">
        <f>IFERROR(IF(ROUNDDOWN(EBF[[#This Row],[Total OC]]*EBF[[#This Row],[Base duration / s]],1)&lt;0.1,0.1,ROUNDDOWN(EBF[[#This Row],[Total OC]]*EBF[[#This Row],[Base duration / s]],1)),"")</f>
        <v>6.2</v>
      </c>
    </row>
    <row r="18" spans="2:23" x14ac:dyDescent="0.25">
      <c r="B18" s="3" t="s">
        <v>48</v>
      </c>
      <c r="C18" s="2">
        <v>120</v>
      </c>
      <c r="D18" s="1" t="str">
        <f>_xlfn.XLOOKUP(EBF[[#This Row],[Base EU/T]],Voltage[Voltage / V],Voltage[Voltage],"",1)</f>
        <v>MV</v>
      </c>
      <c r="E18" s="2">
        <v>30</v>
      </c>
      <c r="F18" s="2">
        <v>1700</v>
      </c>
      <c r="G18" s="1"/>
      <c r="H18" s="1" t="str">
        <f>_xlfn.XLOOKUP(EBF[[#This Row],[Base Temperature / K]],Coils[Temperature / K],Coils[Coil],"",1)</f>
        <v>Cupronickel</v>
      </c>
      <c r="I18" s="1" t="str">
        <f>_xlfn.XLOOKUP(EBF[[#This Row],[Base Temperature / K]]+(1800*1),Coils[Temperature / K],Coils[Coil],"",1)</f>
        <v>Nichrome</v>
      </c>
      <c r="J18" s="1" t="str">
        <f>_xlfn.XLOOKUP(EBF[[#This Row],[Base Temperature / K]]+(1800*2),Coils[Temperature / K],Coils[Coil],"",1)</f>
        <v>HSS-G</v>
      </c>
      <c r="K18" s="1" t="str">
        <f>_xlfn.XLOOKUP(EBF[[#This Row],[Base Temperature / K]]+(1800*3),Coils[Temperature / K],Coils[Coil],"",1)</f>
        <v>Naquadah</v>
      </c>
      <c r="L18" s="1" t="str">
        <f>_xlfn.XLOOKUP(EBF[[#This Row],[Base Temperature / K]]+(1800*4),Coils[Temperature / K],Coils[Coil],"",1)</f>
        <v>Trinium</v>
      </c>
      <c r="M18" s="1" t="str">
        <f>_xlfn.XLOOKUP(EBF[[#This Row],[Base Temperature / K]]+(1800*5),Coils[Temperature / K],Coils[Coil],"",1)</f>
        <v>Tritanium</v>
      </c>
      <c r="N18" s="1" t="s">
        <v>3</v>
      </c>
      <c r="O18" s="1" t="s">
        <v>79</v>
      </c>
      <c r="P18" s="2">
        <f>IFERROR(_xlfn.XLOOKUP(EBF[[#This Row],[Coils]],Coils[Coil],Coils[Temperature / K],"",1)+((_xlfn.XLOOKUP(EBF[[#This Row],[Energy hatch]],Voltage[Voltage],Voltage[Voltage tier],"",0)-1)*100),"")</f>
        <v>5500</v>
      </c>
      <c r="Q18" s="5">
        <f>IFERROR(0.95^ROUNDDOWN((EBF[[#This Row],[Heat capacity / K]]-EBF[[#This Row],[Base Temperature / K]])/900,0),"")</f>
        <v>0.81450624999999999</v>
      </c>
      <c r="R18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390.96299999999997</v>
      </c>
      <c r="S18" s="2">
        <f>EBF[[#This Row],[EU/t]]*4</f>
        <v>1563.8519999999999</v>
      </c>
      <c r="T18" s="4">
        <f>IFERROR(1/(2^ROUNDDOWN((EBF[[#This Row],[Heat capacity / K]]-EBF[[#This Row],[Base Temperature / K]])/1800,0)),"")</f>
        <v>0.25</v>
      </c>
      <c r="U18" s="4">
        <f>IFERROR(1/2^(_xlfn.XLOOKUP(EBF[[#This Row],[Energy hatch]],Voltage[Voltage],Voltage[Voltage tier],"",0)-(_xlfn.XLOOKUP(EBF[[#This Row],[Base voltage]],Voltage[Voltage],Voltage[Voltage tier],"",0))),"")</f>
        <v>0.5</v>
      </c>
      <c r="V18">
        <f>IFERROR(EBF[[#This Row],[Coil overclock ]]*EBF[[#This Row],[Energy overclock]],"")</f>
        <v>0.125</v>
      </c>
      <c r="W18" s="8">
        <f>IFERROR(IF(ROUNDDOWN(EBF[[#This Row],[Total OC]]*EBF[[#This Row],[Base duration / s]],1)&lt;0.1,0.1,ROUNDDOWN(EBF[[#This Row],[Total OC]]*EBF[[#This Row],[Base duration / s]],1)),"")</f>
        <v>3.7</v>
      </c>
    </row>
    <row r="19" spans="2:23" x14ac:dyDescent="0.25">
      <c r="B19" t="s">
        <v>55</v>
      </c>
      <c r="C19" s="2">
        <v>120</v>
      </c>
      <c r="D19" s="1" t="str">
        <f>_xlfn.XLOOKUP(EBF[[#This Row],[Base EU/T]],Voltage[Voltage / V],Voltage[Voltage],"",1)</f>
        <v>MV</v>
      </c>
      <c r="E19" s="2">
        <v>50</v>
      </c>
      <c r="F19" s="2">
        <v>1700</v>
      </c>
      <c r="G19" s="1" t="s">
        <v>40</v>
      </c>
      <c r="H19" s="1" t="str">
        <f>_xlfn.XLOOKUP(EBF[[#This Row],[Base Temperature / K]],Coils[Temperature / K],Coils[Coil],"",1)</f>
        <v>Cupronickel</v>
      </c>
      <c r="I19" s="1" t="str">
        <f>_xlfn.XLOOKUP(EBF[[#This Row],[Base Temperature / K]]+(1800*1),Coils[Temperature / K],Coils[Coil],"",1)</f>
        <v>Nichrome</v>
      </c>
      <c r="J19" s="1" t="str">
        <f>_xlfn.XLOOKUP(EBF[[#This Row],[Base Temperature / K]]+(1800*2),Coils[Temperature / K],Coils[Coil],"",1)</f>
        <v>HSS-G</v>
      </c>
      <c r="K19" s="1" t="str">
        <f>_xlfn.XLOOKUP(EBF[[#This Row],[Base Temperature / K]]+(1800*3),Coils[Temperature / K],Coils[Coil],"",1)</f>
        <v>Naquadah</v>
      </c>
      <c r="L19" s="1" t="str">
        <f>_xlfn.XLOOKUP(EBF[[#This Row],[Base Temperature / K]]+(1800*4),Coils[Temperature / K],Coils[Coil],"",1)</f>
        <v>Trinium</v>
      </c>
      <c r="M19" s="1" t="str">
        <f>_xlfn.XLOOKUP(EBF[[#This Row],[Base Temperature / K]]+(1800*5),Coils[Temperature / K],Coils[Coil],"",1)</f>
        <v>Tritanium</v>
      </c>
      <c r="N19" s="1" t="s">
        <v>3</v>
      </c>
      <c r="O19" s="1" t="s">
        <v>79</v>
      </c>
      <c r="P19" s="2">
        <f>IFERROR(_xlfn.XLOOKUP(EBF[[#This Row],[Coils]],Coils[Coil],Coils[Temperature / K],"",1)+((_xlfn.XLOOKUP(EBF[[#This Row],[Energy hatch]],Voltage[Voltage],Voltage[Voltage tier],"",0)-1)*100),"")</f>
        <v>5500</v>
      </c>
      <c r="Q19" s="5">
        <f>IFERROR(0.95^ROUNDDOWN((EBF[[#This Row],[Heat capacity / K]]-EBF[[#This Row],[Base Temperature / K]])/900,0),"")</f>
        <v>0.81450624999999999</v>
      </c>
      <c r="R19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390.96299999999997</v>
      </c>
      <c r="S19" s="2">
        <f>EBF[[#This Row],[EU/t]]*4</f>
        <v>1563.8519999999999</v>
      </c>
      <c r="T19" s="4">
        <f>IFERROR(1/(2^ROUNDDOWN((EBF[[#This Row],[Heat capacity / K]]-EBF[[#This Row],[Base Temperature / K]])/1800,0)),"")</f>
        <v>0.25</v>
      </c>
      <c r="U19" s="4">
        <f>IFERROR(1/2^(_xlfn.XLOOKUP(EBF[[#This Row],[Energy hatch]],Voltage[Voltage],Voltage[Voltage tier],"",0)-(_xlfn.XLOOKUP(EBF[[#This Row],[Base voltage]],Voltage[Voltage],Voltage[Voltage tier],"",0))),"")</f>
        <v>0.5</v>
      </c>
      <c r="V19">
        <f>IFERROR(EBF[[#This Row],[Coil overclock ]]*EBF[[#This Row],[Energy overclock]],"")</f>
        <v>0.125</v>
      </c>
      <c r="W19" s="8">
        <f>IFERROR(IF(ROUNDDOWN(EBF[[#This Row],[Total OC]]*EBF[[#This Row],[Base duration / s]],1)&lt;0.1,0.1,ROUNDDOWN(EBF[[#This Row],[Total OC]]*EBF[[#This Row],[Base duration / s]],1)),"")</f>
        <v>6.2</v>
      </c>
    </row>
    <row r="20" spans="2:23" x14ac:dyDescent="0.25">
      <c r="B20" s="3" t="s">
        <v>69</v>
      </c>
      <c r="C20" s="2">
        <v>480</v>
      </c>
      <c r="D20" s="1" t="str">
        <f>_xlfn.XLOOKUP(EBF[[#This Row],[Base EU/T]],Voltage[Voltage / V],Voltage[Voltage],"",1)</f>
        <v>HV</v>
      </c>
      <c r="E20" s="2">
        <v>55</v>
      </c>
      <c r="F20" s="2">
        <v>1700</v>
      </c>
      <c r="G20" s="1" t="s">
        <v>40</v>
      </c>
      <c r="H20" s="1" t="str">
        <f>_xlfn.XLOOKUP(EBF[[#This Row],[Base Temperature / K]],Coils[Temperature / K],Coils[Coil],"",1)</f>
        <v>Cupronickel</v>
      </c>
      <c r="I20" s="1" t="str">
        <f>_xlfn.XLOOKUP(EBF[[#This Row],[Base Temperature / K]]+(1800*1),Coils[Temperature / K],Coils[Coil],"",1)</f>
        <v>Nichrome</v>
      </c>
      <c r="J20" s="1" t="str">
        <f>_xlfn.XLOOKUP(EBF[[#This Row],[Base Temperature / K]]+(1800*2),Coils[Temperature / K],Coils[Coil],"",1)</f>
        <v>HSS-G</v>
      </c>
      <c r="K20" s="1" t="str">
        <f>_xlfn.XLOOKUP(EBF[[#This Row],[Base Temperature / K]]+(1800*3),Coils[Temperature / K],Coils[Coil],"",1)</f>
        <v>Naquadah</v>
      </c>
      <c r="L20" s="1" t="str">
        <f>_xlfn.XLOOKUP(EBF[[#This Row],[Base Temperature / K]]+(1800*4),Coils[Temperature / K],Coils[Coil],"",1)</f>
        <v>Trinium</v>
      </c>
      <c r="M20" s="1" t="str">
        <f>_xlfn.XLOOKUP(EBF[[#This Row],[Base Temperature / K]]+(1800*5),Coils[Temperature / K],Coils[Coil],"",1)</f>
        <v>Tritanium</v>
      </c>
      <c r="N20" s="1" t="s">
        <v>3</v>
      </c>
      <c r="O20" s="1" t="s">
        <v>79</v>
      </c>
      <c r="P20" s="2">
        <f>IFERROR(_xlfn.XLOOKUP(EBF[[#This Row],[Coils]],Coils[Coil],Coils[Temperature / K],"",1)+((_xlfn.XLOOKUP(EBF[[#This Row],[Energy hatch]],Voltage[Voltage],Voltage[Voltage tier],"",0)-1)*100),"")</f>
        <v>5500</v>
      </c>
      <c r="Q20" s="5">
        <f>IFERROR(0.95^ROUNDDOWN((EBF[[#This Row],[Heat capacity / K]]-EBF[[#This Row],[Base Temperature / K]])/900,0),"")</f>
        <v>0.81450624999999999</v>
      </c>
      <c r="R20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390.96299999999997</v>
      </c>
      <c r="S20" s="2">
        <f>EBF[[#This Row],[EU/t]]*4</f>
        <v>1563.8519999999999</v>
      </c>
      <c r="T20" s="4">
        <f>IFERROR(1/(2^ROUNDDOWN((EBF[[#This Row],[Heat capacity / K]]-EBF[[#This Row],[Base Temperature / K]])/1800,0)),"")</f>
        <v>0.25</v>
      </c>
      <c r="U20" s="4">
        <f>IFERROR(1/2^(_xlfn.XLOOKUP(EBF[[#This Row],[Energy hatch]],Voltage[Voltage],Voltage[Voltage tier],"",0)-(_xlfn.XLOOKUP(EBF[[#This Row],[Base voltage]],Voltage[Voltage],Voltage[Voltage tier],"",0))),"")</f>
        <v>1</v>
      </c>
      <c r="V20">
        <f>IFERROR(EBF[[#This Row],[Coil overclock ]]*EBF[[#This Row],[Energy overclock]],"")</f>
        <v>0.25</v>
      </c>
      <c r="W20" s="8">
        <f>IFERROR(IF(ROUNDDOWN(EBF[[#This Row],[Total OC]]*EBF[[#This Row],[Base duration / s]],1)&lt;0.1,0.1,ROUNDDOWN(EBF[[#This Row],[Total OC]]*EBF[[#This Row],[Base duration / s]],1)),"")</f>
        <v>13.7</v>
      </c>
    </row>
    <row r="21" spans="2:23" x14ac:dyDescent="0.25">
      <c r="B21" s="3" t="s">
        <v>94</v>
      </c>
      <c r="C21" s="2">
        <v>120</v>
      </c>
      <c r="D21" s="1" t="str">
        <f>_xlfn.XLOOKUP(EBF[[#This Row],[Base EU/T]],Voltage[Voltage / V],Voltage[Voltage],"",1)</f>
        <v>MV</v>
      </c>
      <c r="E21" s="2">
        <v>88.4</v>
      </c>
      <c r="F21" s="2">
        <v>1700</v>
      </c>
      <c r="G21" s="1" t="s">
        <v>40</v>
      </c>
      <c r="H21" s="1" t="str">
        <f>_xlfn.XLOOKUP(EBF[[#This Row],[Base Temperature / K]],Coils[Temperature / K],Coils[Coil],"",1)</f>
        <v>Cupronickel</v>
      </c>
      <c r="I21" s="1" t="str">
        <f>_xlfn.XLOOKUP(EBF[[#This Row],[Base Temperature / K]]+(1800*1),Coils[Temperature / K],Coils[Coil],"",1)</f>
        <v>Nichrome</v>
      </c>
      <c r="J21" s="1" t="str">
        <f>_xlfn.XLOOKUP(EBF[[#This Row],[Base Temperature / K]]+(1800*2),Coils[Temperature / K],Coils[Coil],"",1)</f>
        <v>HSS-G</v>
      </c>
      <c r="K21" s="1" t="str">
        <f>_xlfn.XLOOKUP(EBF[[#This Row],[Base Temperature / K]]+(1800*3),Coils[Temperature / K],Coils[Coil],"",1)</f>
        <v>Naquadah</v>
      </c>
      <c r="L21" s="1" t="str">
        <f>_xlfn.XLOOKUP(EBF[[#This Row],[Base Temperature / K]]+(1800*4),Coils[Temperature / K],Coils[Coil],"",1)</f>
        <v>Trinium</v>
      </c>
      <c r="M21" s="1" t="str">
        <f>_xlfn.XLOOKUP(EBF[[#This Row],[Base Temperature / K]]+(1800*5),Coils[Temperature / K],Coils[Coil],"",1)</f>
        <v>Tritanium</v>
      </c>
      <c r="N21" s="1" t="s">
        <v>3</v>
      </c>
      <c r="O21" s="1" t="s">
        <v>79</v>
      </c>
      <c r="P21" s="2">
        <f>IFERROR(_xlfn.XLOOKUP(EBF[[#This Row],[Coils]],Coils[Coil],Coils[Temperature / K],"",1)+((_xlfn.XLOOKUP(EBF[[#This Row],[Energy hatch]],Voltage[Voltage],Voltage[Voltage tier],"",0)-1)*100),"")</f>
        <v>5500</v>
      </c>
      <c r="Q21" s="5">
        <f>IFERROR(0.95^ROUNDDOWN((EBF[[#This Row],[Heat capacity / K]]-EBF[[#This Row],[Base Temperature / K]])/900,0),"")</f>
        <v>0.81450624999999999</v>
      </c>
      <c r="R21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390.96299999999997</v>
      </c>
      <c r="S21" s="2">
        <f>EBF[[#This Row],[EU/t]]*4</f>
        <v>1563.8519999999999</v>
      </c>
      <c r="T21" s="4">
        <f>IFERROR(1/(2^ROUNDDOWN((EBF[[#This Row],[Heat capacity / K]]-EBF[[#This Row],[Base Temperature / K]])/1800,0)),"")</f>
        <v>0.25</v>
      </c>
      <c r="U21" s="4">
        <f>IFERROR(1/2^(_xlfn.XLOOKUP(EBF[[#This Row],[Energy hatch]],Voltage[Voltage],Voltage[Voltage tier],"",0)-(_xlfn.XLOOKUP(EBF[[#This Row],[Base voltage]],Voltage[Voltage],Voltage[Voltage tier],"",0))),"")</f>
        <v>0.5</v>
      </c>
      <c r="V21">
        <f>IFERROR(EBF[[#This Row],[Coil overclock ]]*EBF[[#This Row],[Energy overclock]],"")</f>
        <v>0.125</v>
      </c>
      <c r="W21" s="8">
        <f>IFERROR(IF(ROUNDDOWN(EBF[[#This Row],[Total OC]]*EBF[[#This Row],[Base duration / s]],1)&lt;0.1,0.1,ROUNDDOWN(EBF[[#This Row],[Total OC]]*EBF[[#This Row],[Base duration / s]],1)),"")</f>
        <v>11</v>
      </c>
    </row>
    <row r="22" spans="2:23" x14ac:dyDescent="0.25">
      <c r="B22" s="3" t="s">
        <v>62</v>
      </c>
      <c r="C22" s="2">
        <v>480</v>
      </c>
      <c r="D22" s="1" t="str">
        <f>_xlfn.XLOOKUP(EBF[[#This Row],[Base EU/T]],Voltage[Voltage / V],Voltage[Voltage],"",1)</f>
        <v>HV</v>
      </c>
      <c r="E22" s="2">
        <v>50</v>
      </c>
      <c r="F22" s="2">
        <v>1711</v>
      </c>
      <c r="G22" s="1" t="s">
        <v>40</v>
      </c>
      <c r="H22" s="1" t="str">
        <f>_xlfn.XLOOKUP(EBF[[#This Row],[Base Temperature / K]],Coils[Temperature / K],Coils[Coil],"",1)</f>
        <v>Cupronickel</v>
      </c>
      <c r="I22" s="1" t="str">
        <f>_xlfn.XLOOKUP(EBF[[#This Row],[Base Temperature / K]]+(1800*1),Coils[Temperature / K],Coils[Coil],"",1)</f>
        <v>Nichrome</v>
      </c>
      <c r="J22" s="1" t="str">
        <f>_xlfn.XLOOKUP(EBF[[#This Row],[Base Temperature / K]]+(1800*2),Coils[Temperature / K],Coils[Coil],"",1)</f>
        <v>HSS-G</v>
      </c>
      <c r="K22" s="1" t="str">
        <f>_xlfn.XLOOKUP(EBF[[#This Row],[Base Temperature / K]]+(1800*3),Coils[Temperature / K],Coils[Coil],"",1)</f>
        <v>Naquadah</v>
      </c>
      <c r="L22" s="1" t="str">
        <f>_xlfn.XLOOKUP(EBF[[#This Row],[Base Temperature / K]]+(1800*4),Coils[Temperature / K],Coils[Coil],"",1)</f>
        <v>Trinium</v>
      </c>
      <c r="M22" s="1" t="str">
        <f>_xlfn.XLOOKUP(EBF[[#This Row],[Base Temperature / K]]+(1800*5),Coils[Temperature / K],Coils[Coil],"",1)</f>
        <v>Tritanium</v>
      </c>
      <c r="N22" s="1" t="s">
        <v>3</v>
      </c>
      <c r="O22" s="1" t="s">
        <v>79</v>
      </c>
      <c r="P22" s="2">
        <f>IFERROR(_xlfn.XLOOKUP(EBF[[#This Row],[Coils]],Coils[Coil],Coils[Temperature / K],"",1)+((_xlfn.XLOOKUP(EBF[[#This Row],[Energy hatch]],Voltage[Voltage],Voltage[Voltage tier],"",0)-1)*100),"")</f>
        <v>5500</v>
      </c>
      <c r="Q22" s="5">
        <f>IFERROR(0.95^ROUNDDOWN((EBF[[#This Row],[Heat capacity / K]]-EBF[[#This Row],[Base Temperature / K]])/900,0),"")</f>
        <v>0.81450624999999999</v>
      </c>
      <c r="R22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390.96299999999997</v>
      </c>
      <c r="S22" s="2">
        <f>EBF[[#This Row],[EU/t]]*4</f>
        <v>1563.8519999999999</v>
      </c>
      <c r="T22" s="4">
        <f>IFERROR(1/(2^ROUNDDOWN((EBF[[#This Row],[Heat capacity / K]]-EBF[[#This Row],[Base Temperature / K]])/1800,0)),"")</f>
        <v>0.25</v>
      </c>
      <c r="U22" s="4">
        <f>IFERROR(1/2^(_xlfn.XLOOKUP(EBF[[#This Row],[Energy hatch]],Voltage[Voltage],Voltage[Voltage tier],"",0)-(_xlfn.XLOOKUP(EBF[[#This Row],[Base voltage]],Voltage[Voltage],Voltage[Voltage tier],"",0))),"")</f>
        <v>1</v>
      </c>
      <c r="V22">
        <f>IFERROR(EBF[[#This Row],[Coil overclock ]]*EBF[[#This Row],[Energy overclock]],"")</f>
        <v>0.25</v>
      </c>
      <c r="W22" s="8">
        <f>IFERROR(IF(ROUNDDOWN(EBF[[#This Row],[Total OC]]*EBF[[#This Row],[Base duration / s]],1)&lt;0.1,0.1,ROUNDDOWN(EBF[[#This Row],[Total OC]]*EBF[[#This Row],[Base duration / s]],1)),"")</f>
        <v>12.5</v>
      </c>
    </row>
    <row r="23" spans="2:23" x14ac:dyDescent="0.25">
      <c r="B23" s="3" t="s">
        <v>98</v>
      </c>
      <c r="C23" s="2">
        <v>120</v>
      </c>
      <c r="D23" s="1" t="str">
        <f>_xlfn.XLOOKUP(EBF[[#This Row],[Base EU/T]],Voltage[Voltage / V],Voltage[Voltage],"",1)</f>
        <v>MV</v>
      </c>
      <c r="E23" s="2">
        <v>160.1</v>
      </c>
      <c r="F23" s="2">
        <v>1799</v>
      </c>
      <c r="G23" s="1"/>
      <c r="H23" s="1" t="str">
        <f>_xlfn.XLOOKUP(EBF[[#This Row],[Base Temperature / K]],Coils[Temperature / K],Coils[Coil],"",1)</f>
        <v>Cupronickel</v>
      </c>
      <c r="I23" s="1" t="str">
        <f>_xlfn.XLOOKUP(EBF[[#This Row],[Base Temperature / K]]+(1800*1),Coils[Temperature / K],Coils[Coil],"",1)</f>
        <v>Nichrome</v>
      </c>
      <c r="J23" s="1" t="str">
        <f>_xlfn.XLOOKUP(EBF[[#This Row],[Base Temperature / K]]+(1800*2),Coils[Temperature / K],Coils[Coil],"",1)</f>
        <v>HSS-G</v>
      </c>
      <c r="K23" s="1" t="str">
        <f>_xlfn.XLOOKUP(EBF[[#This Row],[Base Temperature / K]]+(1800*3),Coils[Temperature / K],Coils[Coil],"",1)</f>
        <v>Naquadah</v>
      </c>
      <c r="L23" s="1" t="str">
        <f>_xlfn.XLOOKUP(EBF[[#This Row],[Base Temperature / K]]+(1800*4),Coils[Temperature / K],Coils[Coil],"",1)</f>
        <v>Trinium</v>
      </c>
      <c r="M23" s="1" t="str">
        <f>_xlfn.XLOOKUP(EBF[[#This Row],[Base Temperature / K]]+(1800*5),Coils[Temperature / K],Coils[Coil],"",1)</f>
        <v>Tritanium</v>
      </c>
      <c r="N23" s="1" t="s">
        <v>3</v>
      </c>
      <c r="O23" s="1" t="s">
        <v>79</v>
      </c>
      <c r="P23" s="2">
        <f>IFERROR(_xlfn.XLOOKUP(EBF[[#This Row],[Coils]],Coils[Coil],Coils[Temperature / K],"",1)+((_xlfn.XLOOKUP(EBF[[#This Row],[Energy hatch]],Voltage[Voltage],Voltage[Voltage tier],"",0)-1)*100),"")</f>
        <v>5500</v>
      </c>
      <c r="Q23" s="5">
        <f>IFERROR(0.95^ROUNDDOWN((EBF[[#This Row],[Heat capacity / K]]-EBF[[#This Row],[Base Temperature / K]])/900,0),"")</f>
        <v>0.81450624999999999</v>
      </c>
      <c r="R23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390.96299999999997</v>
      </c>
      <c r="S23" s="2">
        <f>EBF[[#This Row],[EU/t]]*4</f>
        <v>1563.8519999999999</v>
      </c>
      <c r="T23" s="4">
        <f>IFERROR(1/(2^ROUNDDOWN((EBF[[#This Row],[Heat capacity / K]]-EBF[[#This Row],[Base Temperature / K]])/1800,0)),"")</f>
        <v>0.25</v>
      </c>
      <c r="U23" s="4">
        <f>IFERROR(1/2^(_xlfn.XLOOKUP(EBF[[#This Row],[Energy hatch]],Voltage[Voltage],Voltage[Voltage tier],"",0)-(_xlfn.XLOOKUP(EBF[[#This Row],[Base voltage]],Voltage[Voltage],Voltage[Voltage tier],"",0))),"")</f>
        <v>0.5</v>
      </c>
      <c r="V23">
        <f>IFERROR(EBF[[#This Row],[Coil overclock ]]*EBF[[#This Row],[Energy overclock]],"")</f>
        <v>0.125</v>
      </c>
      <c r="W23" s="8">
        <f>IFERROR(IF(ROUNDDOWN(EBF[[#This Row],[Total OC]]*EBF[[#This Row],[Base duration / s]],1)&lt;0.1,0.1,ROUNDDOWN(EBF[[#This Row],[Total OC]]*EBF[[#This Row],[Base duration / s]],1)),"")</f>
        <v>20</v>
      </c>
    </row>
    <row r="24" spans="2:23" x14ac:dyDescent="0.25">
      <c r="B24" s="3" t="s">
        <v>54</v>
      </c>
      <c r="C24" s="2">
        <v>120</v>
      </c>
      <c r="D24" s="1" t="str">
        <f>_xlfn.XLOOKUP(EBF[[#This Row],[Base EU/T]],Voltage[Voltage / V],Voltage[Voltage],"",1)</f>
        <v>MV</v>
      </c>
      <c r="E24" s="2">
        <v>50</v>
      </c>
      <c r="F24" s="2">
        <v>1800</v>
      </c>
      <c r="G24" s="1" t="s">
        <v>40</v>
      </c>
      <c r="H24" s="1" t="str">
        <f>_xlfn.XLOOKUP(EBF[[#This Row],[Base Temperature / K]],Coils[Temperature / K],Coils[Coil],"",1)</f>
        <v>Cupronickel</v>
      </c>
      <c r="I24" s="1" t="str">
        <f>_xlfn.XLOOKUP(EBF[[#This Row],[Base Temperature / K]]+(1800*1),Coils[Temperature / K],Coils[Coil],"",1)</f>
        <v>Nichrome</v>
      </c>
      <c r="J24" s="1" t="str">
        <f>_xlfn.XLOOKUP(EBF[[#This Row],[Base Temperature / K]]+(1800*2),Coils[Temperature / K],Coils[Coil],"",1)</f>
        <v>HSS-G</v>
      </c>
      <c r="K24" s="1" t="str">
        <f>_xlfn.XLOOKUP(EBF[[#This Row],[Base Temperature / K]]+(1800*3),Coils[Temperature / K],Coils[Coil],"",1)</f>
        <v>Naquadah</v>
      </c>
      <c r="L24" s="1" t="str">
        <f>_xlfn.XLOOKUP(EBF[[#This Row],[Base Temperature / K]]+(1800*4),Coils[Temperature / K],Coils[Coil],"",1)</f>
        <v>Trinium</v>
      </c>
      <c r="M24" s="1" t="str">
        <f>_xlfn.XLOOKUP(EBF[[#This Row],[Base Temperature / K]]+(1800*5),Coils[Temperature / K],Coils[Coil],"",1)</f>
        <v>Tritanium</v>
      </c>
      <c r="N24" s="1" t="s">
        <v>3</v>
      </c>
      <c r="O24" s="1" t="s">
        <v>79</v>
      </c>
      <c r="P24" s="2">
        <f>IFERROR(_xlfn.XLOOKUP(EBF[[#This Row],[Coils]],Coils[Coil],Coils[Temperature / K],"",1)+((_xlfn.XLOOKUP(EBF[[#This Row],[Energy hatch]],Voltage[Voltage],Voltage[Voltage tier],"",0)-1)*100),"")</f>
        <v>5500</v>
      </c>
      <c r="Q24" s="5">
        <f>IFERROR(0.95^ROUNDDOWN((EBF[[#This Row],[Heat capacity / K]]-EBF[[#This Row],[Base Temperature / K]])/900,0),"")</f>
        <v>0.81450624999999999</v>
      </c>
      <c r="R24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390.96299999999997</v>
      </c>
      <c r="S24" s="2">
        <f>EBF[[#This Row],[EU/t]]*4</f>
        <v>1563.8519999999999</v>
      </c>
      <c r="T24" s="4">
        <f>IFERROR(1/(2^ROUNDDOWN((EBF[[#This Row],[Heat capacity / K]]-EBF[[#This Row],[Base Temperature / K]])/1800,0)),"")</f>
        <v>0.25</v>
      </c>
      <c r="U24" s="4">
        <f>IFERROR(1/2^(_xlfn.XLOOKUP(EBF[[#This Row],[Energy hatch]],Voltage[Voltage],Voltage[Voltage tier],"",0)-(_xlfn.XLOOKUP(EBF[[#This Row],[Base voltage]],Voltage[Voltage],Voltage[Voltage tier],"",0))),"")</f>
        <v>0.5</v>
      </c>
      <c r="V24">
        <f>IFERROR(EBF[[#This Row],[Coil overclock ]]*EBF[[#This Row],[Energy overclock]],"")</f>
        <v>0.125</v>
      </c>
      <c r="W24" s="8">
        <f>IFERROR(IF(ROUNDDOWN(EBF[[#This Row],[Total OC]]*EBF[[#This Row],[Base duration / s]],1)&lt;0.1,0.1,ROUNDDOWN(EBF[[#This Row],[Total OC]]*EBF[[#This Row],[Base duration / s]],1)),"")</f>
        <v>6.2</v>
      </c>
    </row>
    <row r="25" spans="2:23" x14ac:dyDescent="0.25">
      <c r="B25" s="20" t="s">
        <v>51</v>
      </c>
      <c r="C25" s="2">
        <v>480</v>
      </c>
      <c r="D25" s="1" t="str">
        <f>_xlfn.XLOOKUP(EBF[[#This Row],[Base EU/T]],Voltage[Voltage / V],Voltage[Voltage],"",1)</f>
        <v>HV</v>
      </c>
      <c r="E25" s="2">
        <v>45</v>
      </c>
      <c r="F25" s="2">
        <v>1828</v>
      </c>
      <c r="G25" s="1" t="s">
        <v>40</v>
      </c>
      <c r="H25" s="1" t="str">
        <f>_xlfn.XLOOKUP(EBF[[#This Row],[Base Temperature / K]],Coils[Temperature / K],Coils[Coil],"",1)</f>
        <v>Kanthal</v>
      </c>
      <c r="I25" s="1" t="str">
        <f>_xlfn.XLOOKUP(EBF[[#This Row],[Base Temperature / K]]+(1800*1),Coils[Temperature / K],Coils[Coil],"",1)</f>
        <v>Tungstensteel</v>
      </c>
      <c r="J25" s="1" t="str">
        <f>_xlfn.XLOOKUP(EBF[[#This Row],[Base Temperature / K]]+(1800*2),Coils[Temperature / K],Coils[Coil],"",1)</f>
        <v>Naquadah</v>
      </c>
      <c r="K25" s="1" t="str">
        <f>_xlfn.XLOOKUP(EBF[[#This Row],[Base Temperature / K]]+(1800*3),Coils[Temperature / K],Coils[Coil],"",1)</f>
        <v>Trinium</v>
      </c>
      <c r="L25" s="1" t="str">
        <f>_xlfn.XLOOKUP(EBF[[#This Row],[Base Temperature / K]]+(1800*4),Coils[Temperature / K],Coils[Coil],"",1)</f>
        <v>Tritanium</v>
      </c>
      <c r="M25" s="1" t="str">
        <f>_xlfn.XLOOKUP(EBF[[#This Row],[Base Temperature / K]]+(1800*5),Coils[Temperature / K],Coils[Coil],"",1)</f>
        <v/>
      </c>
      <c r="N25" s="1" t="s">
        <v>3</v>
      </c>
      <c r="O25" s="1" t="s">
        <v>79</v>
      </c>
      <c r="P25" s="2">
        <f>IFERROR(_xlfn.XLOOKUP(EBF[[#This Row],[Coils]],Coils[Coil],Coils[Temperature / K],"",1)+((_xlfn.XLOOKUP(EBF[[#This Row],[Energy hatch]],Voltage[Voltage],Voltage[Voltage tier],"",0)-1)*100),"")</f>
        <v>5500</v>
      </c>
      <c r="Q25" s="5">
        <f>IFERROR(0.95^ROUNDDOWN((EBF[[#This Row],[Heat capacity / K]]-EBF[[#This Row],[Base Temperature / K]])/900,0),"")</f>
        <v>0.81450624999999999</v>
      </c>
      <c r="R25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390.96299999999997</v>
      </c>
      <c r="S25" s="2">
        <f>EBF[[#This Row],[EU/t]]*4</f>
        <v>1563.8519999999999</v>
      </c>
      <c r="T25" s="4">
        <f>IFERROR(1/(2^ROUNDDOWN((EBF[[#This Row],[Heat capacity / K]]-EBF[[#This Row],[Base Temperature / K]])/1800,0)),"")</f>
        <v>0.25</v>
      </c>
      <c r="U25" s="4">
        <f>IFERROR(1/2^(_xlfn.XLOOKUP(EBF[[#This Row],[Energy hatch]],Voltage[Voltage],Voltage[Voltage tier],"",0)-(_xlfn.XLOOKUP(EBF[[#This Row],[Base voltage]],Voltage[Voltage],Voltage[Voltage tier],"",0))),"")</f>
        <v>1</v>
      </c>
      <c r="V25">
        <f>IFERROR(EBF[[#This Row],[Coil overclock ]]*EBF[[#This Row],[Energy overclock]],"")</f>
        <v>0.25</v>
      </c>
      <c r="W25" s="8">
        <f>IFERROR(IF(ROUNDDOWN(EBF[[#This Row],[Total OC]]*EBF[[#This Row],[Base duration / s]],1)&lt;0.1,0.1,ROUNDDOWN(EBF[[#This Row],[Total OC]]*EBF[[#This Row],[Base duration / s]],1)),"")</f>
        <v>11.2</v>
      </c>
    </row>
    <row r="26" spans="2:23" x14ac:dyDescent="0.25">
      <c r="B26" t="s">
        <v>57</v>
      </c>
      <c r="C26" s="2">
        <v>120</v>
      </c>
      <c r="D26" s="1" t="str">
        <f>_xlfn.XLOOKUP(EBF[[#This Row],[Base EU/T]],Voltage[Voltage / V],Voltage[Voltage],"",1)</f>
        <v>MV</v>
      </c>
      <c r="E26" s="2">
        <v>50</v>
      </c>
      <c r="F26" s="2">
        <v>2000</v>
      </c>
      <c r="G26" s="1" t="s">
        <v>40</v>
      </c>
      <c r="H26" s="1" t="str">
        <f>_xlfn.XLOOKUP(EBF[[#This Row],[Base Temperature / K]],Coils[Temperature / K],Coils[Coil],"",1)</f>
        <v>Kanthal</v>
      </c>
      <c r="I26" s="1" t="str">
        <f>_xlfn.XLOOKUP(EBF[[#This Row],[Base Temperature / K]]+(1800*1),Coils[Temperature / K],Coils[Coil],"",1)</f>
        <v>Tungstensteel</v>
      </c>
      <c r="J26" s="1" t="str">
        <f>_xlfn.XLOOKUP(EBF[[#This Row],[Base Temperature / K]]+(1800*2),Coils[Temperature / K],Coils[Coil],"",1)</f>
        <v>Naquadah</v>
      </c>
      <c r="K26" s="1" t="str">
        <f>_xlfn.XLOOKUP(EBF[[#This Row],[Base Temperature / K]]+(1800*3),Coils[Temperature / K],Coils[Coil],"",1)</f>
        <v>Trinium</v>
      </c>
      <c r="L26" s="1" t="str">
        <f>_xlfn.XLOOKUP(EBF[[#This Row],[Base Temperature / K]]+(1800*4),Coils[Temperature / K],Coils[Coil],"",1)</f>
        <v>Tritanium</v>
      </c>
      <c r="M26" s="1" t="str">
        <f>_xlfn.XLOOKUP(EBF[[#This Row],[Base Temperature / K]]+(1800*5),Coils[Temperature / K],Coils[Coil],"",1)</f>
        <v/>
      </c>
      <c r="N26" s="1" t="s">
        <v>3</v>
      </c>
      <c r="O26" s="1" t="s">
        <v>79</v>
      </c>
      <c r="P26" s="2">
        <f>IFERROR(_xlfn.XLOOKUP(EBF[[#This Row],[Coils]],Coils[Coil],Coils[Temperature / K],"",1)+((_xlfn.XLOOKUP(EBF[[#This Row],[Energy hatch]],Voltage[Voltage],Voltage[Voltage tier],"",0)-1)*100),"")</f>
        <v>5500</v>
      </c>
      <c r="Q26" s="5">
        <f>IFERROR(0.95^ROUNDDOWN((EBF[[#This Row],[Heat capacity / K]]-EBF[[#This Row],[Base Temperature / K]])/900,0),"")</f>
        <v>0.85737499999999989</v>
      </c>
      <c r="R26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411.53999999999996</v>
      </c>
      <c r="S26" s="2">
        <f>EBF[[#This Row],[EU/t]]*4</f>
        <v>1646.1599999999999</v>
      </c>
      <c r="T26" s="4">
        <f>IFERROR(1/(2^ROUNDDOWN((EBF[[#This Row],[Heat capacity / K]]-EBF[[#This Row],[Base Temperature / K]])/1800,0)),"")</f>
        <v>0.5</v>
      </c>
      <c r="U26" s="4">
        <f>IFERROR(1/2^(_xlfn.XLOOKUP(EBF[[#This Row],[Energy hatch]],Voltage[Voltage],Voltage[Voltage tier],"",0)-(_xlfn.XLOOKUP(EBF[[#This Row],[Base voltage]],Voltage[Voltage],Voltage[Voltage tier],"",0))),"")</f>
        <v>0.5</v>
      </c>
      <c r="V26">
        <f>IFERROR(EBF[[#This Row],[Coil overclock ]]*EBF[[#This Row],[Energy overclock]],"")</f>
        <v>0.25</v>
      </c>
      <c r="W26" s="8">
        <f>IFERROR(IF(ROUNDDOWN(EBF[[#This Row],[Total OC]]*EBF[[#This Row],[Base duration / s]],1)&lt;0.1,0.1,ROUNDDOWN(EBF[[#This Row],[Total OC]]*EBF[[#This Row],[Base duration / s]],1)),"")</f>
        <v>12.5</v>
      </c>
    </row>
    <row r="27" spans="2:23" x14ac:dyDescent="0.25">
      <c r="B27" s="3" t="s">
        <v>43</v>
      </c>
      <c r="C27" s="2">
        <v>400</v>
      </c>
      <c r="D27" s="1" t="str">
        <f>_xlfn.XLOOKUP(EBF[[#This Row],[Base EU/T]],Voltage[Voltage / V],Voltage[Voltage],"",1)</f>
        <v>HV</v>
      </c>
      <c r="E27" s="2">
        <v>20</v>
      </c>
      <c r="F27" s="2">
        <v>2141</v>
      </c>
      <c r="G27" s="1"/>
      <c r="H27" s="1" t="str">
        <f>_xlfn.XLOOKUP(EBF[[#This Row],[Base Temperature / K]],Coils[Temperature / K],Coils[Coil],"",1)</f>
        <v>Kanthal</v>
      </c>
      <c r="I27" s="1" t="str">
        <f>_xlfn.XLOOKUP(EBF[[#This Row],[Base Temperature / K]]+(1800*1),Coils[Temperature / K],Coils[Coil],"",1)</f>
        <v>Tungstensteel</v>
      </c>
      <c r="J27" s="1" t="str">
        <f>_xlfn.XLOOKUP(EBF[[#This Row],[Base Temperature / K]]+(1800*2),Coils[Temperature / K],Coils[Coil],"",1)</f>
        <v>Naquadah</v>
      </c>
      <c r="K27" s="1" t="str">
        <f>_xlfn.XLOOKUP(EBF[[#This Row],[Base Temperature / K]]+(1800*3),Coils[Temperature / K],Coils[Coil],"",1)</f>
        <v>Trinium</v>
      </c>
      <c r="L27" s="1" t="str">
        <f>_xlfn.XLOOKUP(EBF[[#This Row],[Base Temperature / K]]+(1800*4),Coils[Temperature / K],Coils[Coil],"",1)</f>
        <v>Tritanium</v>
      </c>
      <c r="M27" s="1" t="str">
        <f>_xlfn.XLOOKUP(EBF[[#This Row],[Base Temperature / K]]+(1800*5),Coils[Temperature / K],Coils[Coil],"",1)</f>
        <v/>
      </c>
      <c r="N27" s="1" t="s">
        <v>3</v>
      </c>
      <c r="O27" s="1" t="s">
        <v>79</v>
      </c>
      <c r="P27" s="2">
        <f>IFERROR(_xlfn.XLOOKUP(EBF[[#This Row],[Coils]],Coils[Coil],Coils[Temperature / K],"",1)+((_xlfn.XLOOKUP(EBF[[#This Row],[Energy hatch]],Voltage[Voltage],Voltage[Voltage tier],"",0)-1)*100),"")</f>
        <v>5500</v>
      </c>
      <c r="Q27" s="5">
        <f>IFERROR(0.95^ROUNDDOWN((EBF[[#This Row],[Heat capacity / K]]-EBF[[#This Row],[Base Temperature / K]])/900,0),"")</f>
        <v>0.85737499999999989</v>
      </c>
      <c r="R27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342.94999999999993</v>
      </c>
      <c r="S27" s="2">
        <f>EBF[[#This Row],[EU/t]]*4</f>
        <v>1371.7999999999997</v>
      </c>
      <c r="T27" s="4">
        <f>IFERROR(1/(2^ROUNDDOWN((EBF[[#This Row],[Heat capacity / K]]-EBF[[#This Row],[Base Temperature / K]])/1800,0)),"")</f>
        <v>0.5</v>
      </c>
      <c r="U27" s="4">
        <f>IFERROR(1/2^(_xlfn.XLOOKUP(EBF[[#This Row],[Energy hatch]],Voltage[Voltage],Voltage[Voltage tier],"",0)-(_xlfn.XLOOKUP(EBF[[#This Row],[Base voltage]],Voltage[Voltage],Voltage[Voltage tier],"",0))),"")</f>
        <v>1</v>
      </c>
      <c r="V27">
        <f>IFERROR(EBF[[#This Row],[Coil overclock ]]*EBF[[#This Row],[Energy overclock]],"")</f>
        <v>0.5</v>
      </c>
      <c r="W27" s="8">
        <f>IFERROR(IF(ROUNDDOWN(EBF[[#This Row],[Total OC]]*EBF[[#This Row],[Base duration / s]],1)&lt;0.1,0.1,ROUNDDOWN(EBF[[#This Row],[Total OC]]*EBF[[#This Row],[Base duration / s]],1)),"")</f>
        <v>10</v>
      </c>
    </row>
    <row r="28" spans="2:23" x14ac:dyDescent="0.25">
      <c r="B28" s="3" t="s">
        <v>72</v>
      </c>
      <c r="C28" s="2">
        <v>480</v>
      </c>
      <c r="D28" s="1" t="str">
        <f>_xlfn.XLOOKUP(EBF[[#This Row],[Base EU/T]],Voltage[Voltage / V],Voltage[Voltage],"",1)</f>
        <v>HV</v>
      </c>
      <c r="E28" s="2">
        <v>40</v>
      </c>
      <c r="F28" s="2">
        <v>2141</v>
      </c>
      <c r="G28" s="1"/>
      <c r="H28" s="1" t="str">
        <f>_xlfn.XLOOKUP(EBF[[#This Row],[Base Temperature / K]],Coils[Temperature / K],Coils[Coil],"",1)</f>
        <v>Kanthal</v>
      </c>
      <c r="I28" s="1" t="str">
        <f>_xlfn.XLOOKUP(EBF[[#This Row],[Base Temperature / K]]+(1800*1),Coils[Temperature / K],Coils[Coil],"",1)</f>
        <v>Tungstensteel</v>
      </c>
      <c r="J28" s="1" t="str">
        <f>_xlfn.XLOOKUP(EBF[[#This Row],[Base Temperature / K]]+(1800*2),Coils[Temperature / K],Coils[Coil],"",1)</f>
        <v>Naquadah</v>
      </c>
      <c r="K28" s="1" t="str">
        <f>_xlfn.XLOOKUP(EBF[[#This Row],[Base Temperature / K]]+(1800*3),Coils[Temperature / K],Coils[Coil],"",1)</f>
        <v>Trinium</v>
      </c>
      <c r="L28" s="1" t="str">
        <f>_xlfn.XLOOKUP(EBF[[#This Row],[Base Temperature / K]]+(1800*4),Coils[Temperature / K],Coils[Coil],"",1)</f>
        <v>Tritanium</v>
      </c>
      <c r="M28" s="1" t="str">
        <f>_xlfn.XLOOKUP(EBF[[#This Row],[Base Temperature / K]]+(1800*5),Coils[Temperature / K],Coils[Coil],"",1)</f>
        <v/>
      </c>
      <c r="N28" s="1" t="s">
        <v>3</v>
      </c>
      <c r="O28" s="1" t="s">
        <v>79</v>
      </c>
      <c r="P28" s="2">
        <f>IFERROR(_xlfn.XLOOKUP(EBF[[#This Row],[Coils]],Coils[Coil],Coils[Temperature / K],"",1)+((_xlfn.XLOOKUP(EBF[[#This Row],[Energy hatch]],Voltage[Voltage],Voltage[Voltage tier],"",0)-1)*100),"")</f>
        <v>5500</v>
      </c>
      <c r="Q28" s="5">
        <f>IFERROR(0.95^ROUNDDOWN((EBF[[#This Row],[Heat capacity / K]]-EBF[[#This Row],[Base Temperature / K]])/900,0),"")</f>
        <v>0.85737499999999989</v>
      </c>
      <c r="R28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411.53999999999996</v>
      </c>
      <c r="S28" s="2">
        <f>EBF[[#This Row],[EU/t]]*4</f>
        <v>1646.1599999999999</v>
      </c>
      <c r="T28" s="4">
        <f>IFERROR(1/(2^ROUNDDOWN((EBF[[#This Row],[Heat capacity / K]]-EBF[[#This Row],[Base Temperature / K]])/1800,0)),"")</f>
        <v>0.5</v>
      </c>
      <c r="U28" s="4">
        <f>IFERROR(1/2^(_xlfn.XLOOKUP(EBF[[#This Row],[Energy hatch]],Voltage[Voltage],Voltage[Voltage tier],"",0)-(_xlfn.XLOOKUP(EBF[[#This Row],[Base voltage]],Voltage[Voltage],Voltage[Voltage tier],"",0))),"")</f>
        <v>1</v>
      </c>
      <c r="V28">
        <f>IFERROR(EBF[[#This Row],[Coil overclock ]]*EBF[[#This Row],[Energy overclock]],"")</f>
        <v>0.5</v>
      </c>
      <c r="W28" s="8">
        <f>IFERROR(IF(ROUNDDOWN(EBF[[#This Row],[Total OC]]*EBF[[#This Row],[Base duration / s]],1)&lt;0.1,0.1,ROUNDDOWN(EBF[[#This Row],[Total OC]]*EBF[[#This Row],[Base duration / s]],1)),"")</f>
        <v>20</v>
      </c>
    </row>
    <row r="29" spans="2:23" x14ac:dyDescent="0.25">
      <c r="B29" s="3" t="s">
        <v>84</v>
      </c>
      <c r="C29" s="2">
        <v>120</v>
      </c>
      <c r="D29" s="1" t="str">
        <f>_xlfn.XLOOKUP(EBF[[#This Row],[Base EU/T]],Voltage[Voltage / V],Voltage[Voltage],"",1)</f>
        <v>MV</v>
      </c>
      <c r="E29" s="2">
        <v>111.3</v>
      </c>
      <c r="F29" s="2">
        <v>2183</v>
      </c>
      <c r="G29" s="1" t="s">
        <v>36</v>
      </c>
      <c r="H29" s="1" t="str">
        <f>_xlfn.XLOOKUP(EBF[[#This Row],[Base Temperature / K]],Coils[Temperature / K],Coils[Coil],"",1)</f>
        <v>Kanthal</v>
      </c>
      <c r="I29" s="1" t="str">
        <f>_xlfn.XLOOKUP(EBF[[#This Row],[Base Temperature / K]]+(1800*1),Coils[Temperature / K],Coils[Coil],"",1)</f>
        <v>Tungstensteel</v>
      </c>
      <c r="J29" s="1" t="str">
        <f>_xlfn.XLOOKUP(EBF[[#This Row],[Base Temperature / K]]+(1800*2),Coils[Temperature / K],Coils[Coil],"",1)</f>
        <v>Naquadah</v>
      </c>
      <c r="K29" s="1" t="str">
        <f>_xlfn.XLOOKUP(EBF[[#This Row],[Base Temperature / K]]+(1800*3),Coils[Temperature / K],Coils[Coil],"",1)</f>
        <v>Trinium</v>
      </c>
      <c r="L29" s="1" t="str">
        <f>_xlfn.XLOOKUP(EBF[[#This Row],[Base Temperature / K]]+(1800*4),Coils[Temperature / K],Coils[Coil],"",1)</f>
        <v>Tritanium</v>
      </c>
      <c r="M29" s="1" t="str">
        <f>_xlfn.XLOOKUP(EBF[[#This Row],[Base Temperature / K]]+(1800*5),Coils[Temperature / K],Coils[Coil],"",1)</f>
        <v/>
      </c>
      <c r="N29" s="1" t="s">
        <v>3</v>
      </c>
      <c r="O29" s="1" t="s">
        <v>79</v>
      </c>
      <c r="P29" s="2">
        <f>IFERROR(_xlfn.XLOOKUP(EBF[[#This Row],[Coils]],Coils[Coil],Coils[Temperature / K],"",1)+((_xlfn.XLOOKUP(EBF[[#This Row],[Energy hatch]],Voltage[Voltage],Voltage[Voltage tier],"",0)-1)*100),"")</f>
        <v>5500</v>
      </c>
      <c r="Q29" s="5">
        <f>IFERROR(0.95^ROUNDDOWN((EBF[[#This Row],[Heat capacity / K]]-EBF[[#This Row],[Base Temperature / K]])/900,0),"")</f>
        <v>0.85737499999999989</v>
      </c>
      <c r="R29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411.53999999999996</v>
      </c>
      <c r="S29" s="2">
        <f>EBF[[#This Row],[EU/t]]*4</f>
        <v>1646.1599999999999</v>
      </c>
      <c r="T29" s="4">
        <f>IFERROR(1/(2^ROUNDDOWN((EBF[[#This Row],[Heat capacity / K]]-EBF[[#This Row],[Base Temperature / K]])/1800,0)),"")</f>
        <v>0.5</v>
      </c>
      <c r="U29" s="4">
        <f>IFERROR(1/2^(_xlfn.XLOOKUP(EBF[[#This Row],[Energy hatch]],Voltage[Voltage],Voltage[Voltage tier],"",0)-(_xlfn.XLOOKUP(EBF[[#This Row],[Base voltage]],Voltage[Voltage],Voltage[Voltage tier],"",0))),"")</f>
        <v>0.5</v>
      </c>
      <c r="V29">
        <f>IFERROR(EBF[[#This Row],[Coil overclock ]]*EBF[[#This Row],[Energy overclock]],"")</f>
        <v>0.25</v>
      </c>
      <c r="W29" s="8">
        <f>IFERROR(IF(ROUNDDOWN(EBF[[#This Row],[Total OC]]*EBF[[#This Row],[Base duration / s]],1)&lt;0.1,0.1,ROUNDDOWN(EBF[[#This Row],[Total OC]]*EBF[[#This Row],[Base duration / s]],1)),"")</f>
        <v>27.8</v>
      </c>
    </row>
    <row r="30" spans="2:23" x14ac:dyDescent="0.25">
      <c r="B30" s="3" t="s">
        <v>74</v>
      </c>
      <c r="C30" s="2">
        <v>1920</v>
      </c>
      <c r="D30" s="1" t="str">
        <f>_xlfn.XLOOKUP(EBF[[#This Row],[Base EU/T]],Voltage[Voltage / V],Voltage[Voltage],"",1)</f>
        <v>EV</v>
      </c>
      <c r="E30" s="2">
        <v>60</v>
      </c>
      <c r="F30" s="2">
        <v>2237</v>
      </c>
      <c r="G30" s="1" t="s">
        <v>36</v>
      </c>
      <c r="H30" s="1" t="str">
        <f>_xlfn.XLOOKUP(EBF[[#This Row],[Base Temperature / K]],Coils[Temperature / K],Coils[Coil],"",1)</f>
        <v>Kanthal</v>
      </c>
      <c r="I30" s="1" t="str">
        <f>_xlfn.XLOOKUP(EBF[[#This Row],[Base Temperature / K]]+(1800*1),Coils[Temperature / K],Coils[Coil],"",1)</f>
        <v>Tungstensteel</v>
      </c>
      <c r="J30" s="1" t="str">
        <f>_xlfn.XLOOKUP(EBF[[#This Row],[Base Temperature / K]]+(1800*2),Coils[Temperature / K],Coils[Coil],"",1)</f>
        <v>Naquadah</v>
      </c>
      <c r="K30" s="1" t="str">
        <f>_xlfn.XLOOKUP(EBF[[#This Row],[Base Temperature / K]]+(1800*3),Coils[Temperature / K],Coils[Coil],"",1)</f>
        <v>Trinium</v>
      </c>
      <c r="L30" s="1" t="str">
        <f>_xlfn.XLOOKUP(EBF[[#This Row],[Base Temperature / K]]+(1800*4),Coils[Temperature / K],Coils[Coil],"",1)</f>
        <v>Tritanium</v>
      </c>
      <c r="M30" s="1" t="str">
        <f>_xlfn.XLOOKUP(EBF[[#This Row],[Base Temperature / K]]+(1800*5),Coils[Temperature / K],Coils[Coil],"",1)</f>
        <v/>
      </c>
      <c r="N30" s="1" t="s">
        <v>4</v>
      </c>
      <c r="O30" s="1" t="s">
        <v>79</v>
      </c>
      <c r="P30" s="2">
        <f>IFERROR(_xlfn.XLOOKUP(EBF[[#This Row],[Coils]],Coils[Coil],Coils[Temperature / K],"",1)+((_xlfn.XLOOKUP(EBF[[#This Row],[Energy hatch]],Voltage[Voltage],Voltage[Voltage tier],"",0)-1)*100),"")</f>
        <v>5600</v>
      </c>
      <c r="Q30" s="5">
        <f>IFERROR(0.95^ROUNDDOWN((EBF[[#This Row],[Heat capacity / K]]-EBF[[#This Row],[Base Temperature / K]])/900,0),"")</f>
        <v>0.85737499999999989</v>
      </c>
      <c r="R30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1646.1599999999999</v>
      </c>
      <c r="S30" s="2">
        <f>EBF[[#This Row],[EU/t]]*4</f>
        <v>6584.6399999999994</v>
      </c>
      <c r="T30" s="4">
        <f>IFERROR(1/(2^ROUNDDOWN((EBF[[#This Row],[Heat capacity / K]]-EBF[[#This Row],[Base Temperature / K]])/1800,0)),"")</f>
        <v>0.5</v>
      </c>
      <c r="U30" s="4">
        <f>IFERROR(1/2^(_xlfn.XLOOKUP(EBF[[#This Row],[Energy hatch]],Voltage[Voltage],Voltage[Voltage tier],"",0)-(_xlfn.XLOOKUP(EBF[[#This Row],[Base voltage]],Voltage[Voltage],Voltage[Voltage tier],"",0))),"")</f>
        <v>1</v>
      </c>
      <c r="V30">
        <f>IFERROR(EBF[[#This Row],[Coil overclock ]]*EBF[[#This Row],[Energy overclock]],"")</f>
        <v>0.5</v>
      </c>
      <c r="W30" s="8">
        <f>IFERROR(IF(ROUNDDOWN(EBF[[#This Row],[Total OC]]*EBF[[#This Row],[Base duration / s]],1)&lt;0.1,0.1,ROUNDDOWN(EBF[[#This Row],[Total OC]]*EBF[[#This Row],[Base duration / s]],1)),"")</f>
        <v>30</v>
      </c>
    </row>
    <row r="31" spans="2:23" x14ac:dyDescent="0.25">
      <c r="B31" s="3" t="s">
        <v>205</v>
      </c>
      <c r="C31" s="2">
        <v>1920</v>
      </c>
      <c r="D31" s="1" t="str">
        <f>_xlfn.XLOOKUP(EBF[[#This Row],[Base EU/T]],Voltage[Voltage / V],Voltage[Voltage],"",1)</f>
        <v>EV</v>
      </c>
      <c r="E31" s="2">
        <v>40</v>
      </c>
      <c r="F31" s="2">
        <v>2300</v>
      </c>
      <c r="G31" s="1" t="s">
        <v>36</v>
      </c>
      <c r="H31" s="1" t="str">
        <f>_xlfn.XLOOKUP(EBF[[#This Row],[Base Temperature / K]],Coils[Temperature / K],Coils[Coil],"",1)</f>
        <v>Kanthal</v>
      </c>
      <c r="I31" s="1" t="str">
        <f>_xlfn.XLOOKUP(EBF[[#This Row],[Base Temperature / K]]+(1800*1),Coils[Temperature / K],Coils[Coil],"",1)</f>
        <v>Tungstensteel</v>
      </c>
      <c r="J31" s="1" t="str">
        <f>_xlfn.XLOOKUP(EBF[[#This Row],[Base Temperature / K]]+(1800*2),Coils[Temperature / K],Coils[Coil],"",1)</f>
        <v>Naquadah</v>
      </c>
      <c r="K31" s="1" t="str">
        <f>_xlfn.XLOOKUP(EBF[[#This Row],[Base Temperature / K]]+(1800*3),Coils[Temperature / K],Coils[Coil],"",1)</f>
        <v>Trinium</v>
      </c>
      <c r="L31" s="1" t="str">
        <f>_xlfn.XLOOKUP(EBF[[#This Row],[Base Temperature / K]]+(1800*4),Coils[Temperature / K],Coils[Coil],"",1)</f>
        <v>Tritanium</v>
      </c>
      <c r="M31" s="1" t="str">
        <f>_xlfn.XLOOKUP(EBF[[#This Row],[Base Temperature / K]]+(1800*5),Coils[Temperature / K],Coils[Coil],"",1)</f>
        <v/>
      </c>
      <c r="N31" s="1" t="s">
        <v>4</v>
      </c>
      <c r="O31" s="1" t="s">
        <v>79</v>
      </c>
      <c r="P31" s="2">
        <f>IFERROR(_xlfn.XLOOKUP(EBF[[#This Row],[Coils]],Coils[Coil],Coils[Temperature / K],"",1)+((_xlfn.XLOOKUP(EBF[[#This Row],[Energy hatch]],Voltage[Voltage],Voltage[Voltage tier],"",0)-1)*100),"")</f>
        <v>5600</v>
      </c>
      <c r="Q31" s="5">
        <f>IFERROR(0.95^ROUNDDOWN((EBF[[#This Row],[Heat capacity / K]]-EBF[[#This Row],[Base Temperature / K]])/900,0),"")</f>
        <v>0.85737499999999989</v>
      </c>
      <c r="R31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1646.1599999999999</v>
      </c>
      <c r="S31" s="2">
        <f>EBF[[#This Row],[EU/t]]*4</f>
        <v>6584.6399999999994</v>
      </c>
      <c r="T31" s="4">
        <f>IFERROR(1/(2^ROUNDDOWN((EBF[[#This Row],[Heat capacity / K]]-EBF[[#This Row],[Base Temperature / K]])/1800,0)),"")</f>
        <v>0.5</v>
      </c>
      <c r="U31" s="4">
        <f>IFERROR(1/2^(_xlfn.XLOOKUP(EBF[[#This Row],[Energy hatch]],Voltage[Voltage],Voltage[Voltage tier],"",0)-(_xlfn.XLOOKUP(EBF[[#This Row],[Base voltage]],Voltage[Voltage],Voltage[Voltage tier],"",0))),"")</f>
        <v>1</v>
      </c>
      <c r="V31">
        <f>IFERROR(EBF[[#This Row],[Coil overclock ]]*EBF[[#This Row],[Energy overclock]],"")</f>
        <v>0.5</v>
      </c>
      <c r="W31" s="8">
        <f>IFERROR(IF(ROUNDDOWN(EBF[[#This Row],[Total OC]]*EBF[[#This Row],[Base duration / s]],1)&lt;0.1,0.1,ROUNDDOWN(EBF[[#This Row],[Total OC]]*EBF[[#This Row],[Base duration / s]],1)),"")</f>
        <v>20</v>
      </c>
    </row>
    <row r="32" spans="2:23" x14ac:dyDescent="0.25">
      <c r="B32" s="3" t="s">
        <v>59</v>
      </c>
      <c r="C32" s="2">
        <v>480</v>
      </c>
      <c r="D32" s="1" t="str">
        <f>_xlfn.XLOOKUP(EBF[[#This Row],[Base EU/T]],Voltage[Voltage / V],Voltage[Voltage],"",1)</f>
        <v>HV</v>
      </c>
      <c r="E32" s="2">
        <v>50</v>
      </c>
      <c r="F32" s="2">
        <v>2500</v>
      </c>
      <c r="G32" s="1" t="s">
        <v>40</v>
      </c>
      <c r="H32" s="1" t="str">
        <f>_xlfn.XLOOKUP(EBF[[#This Row],[Base Temperature / K]],Coils[Temperature / K],Coils[Coil],"",1)</f>
        <v>Kanthal</v>
      </c>
      <c r="I32" s="1" t="str">
        <f>_xlfn.XLOOKUP(EBF[[#This Row],[Base Temperature / K]]+(1800*1),Coils[Temperature / K],Coils[Coil],"",1)</f>
        <v>Tungstensteel</v>
      </c>
      <c r="J32" s="1" t="str">
        <f>_xlfn.XLOOKUP(EBF[[#This Row],[Base Temperature / K]]+(1800*2),Coils[Temperature / K],Coils[Coil],"",1)</f>
        <v>Naquadah</v>
      </c>
      <c r="K32" s="1" t="str">
        <f>_xlfn.XLOOKUP(EBF[[#This Row],[Base Temperature / K]]+(1800*3),Coils[Temperature / K],Coils[Coil],"",1)</f>
        <v>Trinium</v>
      </c>
      <c r="L32" s="1" t="str">
        <f>_xlfn.XLOOKUP(EBF[[#This Row],[Base Temperature / K]]+(1800*4),Coils[Temperature / K],Coils[Coil],"",1)</f>
        <v>Tritanium</v>
      </c>
      <c r="M32" s="1" t="str">
        <f>_xlfn.XLOOKUP(EBF[[#This Row],[Base Temperature / K]]+(1800*5),Coils[Temperature / K],Coils[Coil],"",1)</f>
        <v/>
      </c>
      <c r="N32" s="1" t="s">
        <v>3</v>
      </c>
      <c r="O32" s="1" t="s">
        <v>79</v>
      </c>
      <c r="P32" s="2">
        <f>IFERROR(_xlfn.XLOOKUP(EBF[[#This Row],[Coils]],Coils[Coil],Coils[Temperature / K],"",1)+((_xlfn.XLOOKUP(EBF[[#This Row],[Energy hatch]],Voltage[Voltage],Voltage[Voltage tier],"",0)-1)*100),"")</f>
        <v>5500</v>
      </c>
      <c r="Q32" s="5">
        <f>IFERROR(0.95^ROUNDDOWN((EBF[[#This Row],[Heat capacity / K]]-EBF[[#This Row],[Base Temperature / K]])/900,0),"")</f>
        <v>0.85737499999999989</v>
      </c>
      <c r="R32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411.53999999999996</v>
      </c>
      <c r="S32" s="2">
        <f>EBF[[#This Row],[EU/t]]*4</f>
        <v>1646.1599999999999</v>
      </c>
      <c r="T32" s="4">
        <f>IFERROR(1/(2^ROUNDDOWN((EBF[[#This Row],[Heat capacity / K]]-EBF[[#This Row],[Base Temperature / K]])/1800,0)),"")</f>
        <v>0.5</v>
      </c>
      <c r="U32" s="4">
        <f>IFERROR(1/2^(_xlfn.XLOOKUP(EBF[[#This Row],[Energy hatch]],Voltage[Voltage],Voltage[Voltage tier],"",0)-(_xlfn.XLOOKUP(EBF[[#This Row],[Base voltage]],Voltage[Voltage],Voltage[Voltage tier],"",0))),"")</f>
        <v>1</v>
      </c>
      <c r="V32">
        <f>IFERROR(EBF[[#This Row],[Coil overclock ]]*EBF[[#This Row],[Energy overclock]],"")</f>
        <v>0.5</v>
      </c>
      <c r="W32" s="8">
        <f>IFERROR(IF(ROUNDDOWN(EBF[[#This Row],[Total OC]]*EBF[[#This Row],[Base duration / s]],1)&lt;0.1,0.1,ROUNDDOWN(EBF[[#This Row],[Total OC]]*EBF[[#This Row],[Base duration / s]],1)),"")</f>
        <v>25</v>
      </c>
    </row>
    <row r="33" spans="2:23" x14ac:dyDescent="0.25">
      <c r="B33" s="3" t="s">
        <v>52</v>
      </c>
      <c r="C33" s="2">
        <v>1920</v>
      </c>
      <c r="D33" s="1" t="str">
        <f>_xlfn.XLOOKUP(EBF[[#This Row],[Base EU/T]],Voltage[Voltage / V],Voltage[Voltage],"",1)</f>
        <v>EV</v>
      </c>
      <c r="E33" s="2">
        <v>45</v>
      </c>
      <c r="F33" s="2">
        <v>2607</v>
      </c>
      <c r="G33" s="1" t="s">
        <v>36</v>
      </c>
      <c r="H33" s="1" t="str">
        <f>_xlfn.XLOOKUP(EBF[[#This Row],[Base Temperature / K]],Coils[Temperature / K],Coils[Coil],"",1)</f>
        <v>Kanthal</v>
      </c>
      <c r="I33" s="1" t="str">
        <f>_xlfn.XLOOKUP(EBF[[#This Row],[Base Temperature / K]]+(1800*1),Coils[Temperature / K],Coils[Coil],"",1)</f>
        <v>Tungstensteel</v>
      </c>
      <c r="J33" s="1" t="str">
        <f>_xlfn.XLOOKUP(EBF[[#This Row],[Base Temperature / K]]+(1800*2),Coils[Temperature / K],Coils[Coil],"",1)</f>
        <v>Naquadah</v>
      </c>
      <c r="K33" s="1" t="str">
        <f>_xlfn.XLOOKUP(EBF[[#This Row],[Base Temperature / K]]+(1800*3),Coils[Temperature / K],Coils[Coil],"",1)</f>
        <v>Trinium</v>
      </c>
      <c r="L33" s="1" t="str">
        <f>_xlfn.XLOOKUP(EBF[[#This Row],[Base Temperature / K]]+(1800*4),Coils[Temperature / K],Coils[Coil],"",1)</f>
        <v>Tritanium</v>
      </c>
      <c r="M33" s="1" t="str">
        <f>_xlfn.XLOOKUP(EBF[[#This Row],[Base Temperature / K]]+(1800*5),Coils[Temperature / K],Coils[Coil],"",1)</f>
        <v/>
      </c>
      <c r="N33" s="1" t="s">
        <v>4</v>
      </c>
      <c r="O33" s="1" t="s">
        <v>79</v>
      </c>
      <c r="P33" s="2">
        <f>IFERROR(_xlfn.XLOOKUP(EBF[[#This Row],[Coils]],Coils[Coil],Coils[Temperature / K],"",1)+((_xlfn.XLOOKUP(EBF[[#This Row],[Energy hatch]],Voltage[Voltage],Voltage[Voltage tier],"",0)-1)*100),"")</f>
        <v>5600</v>
      </c>
      <c r="Q33" s="5">
        <f>IFERROR(0.95^ROUNDDOWN((EBF[[#This Row],[Heat capacity / K]]-EBF[[#This Row],[Base Temperature / K]])/900,0),"")</f>
        <v>0.85737499999999989</v>
      </c>
      <c r="R33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1646.1599999999999</v>
      </c>
      <c r="S33" s="2">
        <f>EBF[[#This Row],[EU/t]]*4</f>
        <v>6584.6399999999994</v>
      </c>
      <c r="T33" s="4">
        <f>IFERROR(1/(2^ROUNDDOWN((EBF[[#This Row],[Heat capacity / K]]-EBF[[#This Row],[Base Temperature / K]])/1800,0)),"")</f>
        <v>0.5</v>
      </c>
      <c r="U33" s="4">
        <f>IFERROR(1/2^(_xlfn.XLOOKUP(EBF[[#This Row],[Energy hatch]],Voltage[Voltage],Voltage[Voltage tier],"",0)-(_xlfn.XLOOKUP(EBF[[#This Row],[Base voltage]],Voltage[Voltage],Voltage[Voltage tier],"",0))),"")</f>
        <v>1</v>
      </c>
      <c r="V33">
        <f>IFERROR(EBF[[#This Row],[Coil overclock ]]*EBF[[#This Row],[Energy overclock]],"")</f>
        <v>0.5</v>
      </c>
      <c r="W33" s="8">
        <f>IFERROR(IF(ROUNDDOWN(EBF[[#This Row],[Total OC]]*EBF[[#This Row],[Base duration / s]],1)&lt;0.1,0.1,ROUNDDOWN(EBF[[#This Row],[Total OC]]*EBF[[#This Row],[Base duration / s]],1)),"")</f>
        <v>22.5</v>
      </c>
    </row>
    <row r="34" spans="2:23" x14ac:dyDescent="0.25">
      <c r="B34" s="3" t="s">
        <v>78</v>
      </c>
      <c r="C34" s="2">
        <v>480</v>
      </c>
      <c r="D34" s="1" t="str">
        <f>_xlfn.XLOOKUP(EBF[[#This Row],[Base EU/T]],Voltage[Voltage / V],Voltage[Voltage],"",1)</f>
        <v>HV</v>
      </c>
      <c r="E34" s="2">
        <v>65</v>
      </c>
      <c r="F34" s="2">
        <v>2700</v>
      </c>
      <c r="G34" s="1" t="s">
        <v>40</v>
      </c>
      <c r="H34" s="1" t="str">
        <f>_xlfn.XLOOKUP(EBF[[#This Row],[Base Temperature / K]],Coils[Temperature / K],Coils[Coil],"",1)</f>
        <v>Kanthal</v>
      </c>
      <c r="I34" s="1" t="str">
        <f>_xlfn.XLOOKUP(EBF[[#This Row],[Base Temperature / K]]+(1800*1),Coils[Temperature / K],Coils[Coil],"",1)</f>
        <v>Tungstensteel</v>
      </c>
      <c r="J34" s="1" t="str">
        <f>_xlfn.XLOOKUP(EBF[[#This Row],[Base Temperature / K]]+(1800*2),Coils[Temperature / K],Coils[Coil],"",1)</f>
        <v>Naquadah</v>
      </c>
      <c r="K34" s="1" t="str">
        <f>_xlfn.XLOOKUP(EBF[[#This Row],[Base Temperature / K]]+(1800*3),Coils[Temperature / K],Coils[Coil],"",1)</f>
        <v>Trinium</v>
      </c>
      <c r="L34" s="1" t="str">
        <f>_xlfn.XLOOKUP(EBF[[#This Row],[Base Temperature / K]]+(1800*4),Coils[Temperature / K],Coils[Coil],"",1)</f>
        <v>Tritanium</v>
      </c>
      <c r="M34" s="1" t="str">
        <f>_xlfn.XLOOKUP(EBF[[#This Row],[Base Temperature / K]]+(1800*5),Coils[Temperature / K],Coils[Coil],"",1)</f>
        <v/>
      </c>
      <c r="N34" s="1" t="s">
        <v>3</v>
      </c>
      <c r="O34" s="1" t="s">
        <v>79</v>
      </c>
      <c r="P34" s="2">
        <f>IFERROR(_xlfn.XLOOKUP(EBF[[#This Row],[Coils]],Coils[Coil],Coils[Temperature / K],"",1)+((_xlfn.XLOOKUP(EBF[[#This Row],[Energy hatch]],Voltage[Voltage],Voltage[Voltage tier],"",0)-1)*100),"")</f>
        <v>5500</v>
      </c>
      <c r="Q34" s="5">
        <f>IFERROR(0.95^ROUNDDOWN((EBF[[#This Row],[Heat capacity / K]]-EBF[[#This Row],[Base Temperature / K]])/900,0),"")</f>
        <v>0.85737499999999989</v>
      </c>
      <c r="R34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411.53999999999996</v>
      </c>
      <c r="S34" s="2">
        <f>EBF[[#This Row],[EU/t]]*4</f>
        <v>1646.1599999999999</v>
      </c>
      <c r="T34" s="4">
        <f>IFERROR(1/(2^ROUNDDOWN((EBF[[#This Row],[Heat capacity / K]]-EBF[[#This Row],[Base Temperature / K]])/1800,0)),"")</f>
        <v>0.5</v>
      </c>
      <c r="U34" s="4">
        <f>IFERROR(1/2^(_xlfn.XLOOKUP(EBF[[#This Row],[Energy hatch]],Voltage[Voltage],Voltage[Voltage tier],"",0)-(_xlfn.XLOOKUP(EBF[[#This Row],[Base voltage]],Voltage[Voltage],Voltage[Voltage tier],"",0))),"")</f>
        <v>1</v>
      </c>
      <c r="V34">
        <f>IFERROR(EBF[[#This Row],[Coil overclock ]]*EBF[[#This Row],[Energy overclock]],"")</f>
        <v>0.5</v>
      </c>
      <c r="W34" s="8">
        <f>IFERROR(IF(ROUNDDOWN(EBF[[#This Row],[Total OC]]*EBF[[#This Row],[Base duration / s]],1)&lt;0.1,0.1,ROUNDDOWN(EBF[[#This Row],[Total OC]]*EBF[[#This Row],[Base duration / s]],1)),"")</f>
        <v>32.5</v>
      </c>
    </row>
    <row r="35" spans="2:23" x14ac:dyDescent="0.25">
      <c r="B35" s="3" t="s">
        <v>77</v>
      </c>
      <c r="C35" s="2">
        <v>480</v>
      </c>
      <c r="D35" s="1" t="str">
        <f>_xlfn.XLOOKUP(EBF[[#This Row],[Base EU/T]],Voltage[Voltage / V],Voltage[Voltage],"",1)</f>
        <v>HV</v>
      </c>
      <c r="E35" s="2">
        <v>65</v>
      </c>
      <c r="F35" s="2">
        <v>2700</v>
      </c>
      <c r="G35" s="1" t="s">
        <v>36</v>
      </c>
      <c r="H35" s="1" t="str">
        <f>_xlfn.XLOOKUP(EBF[[#This Row],[Base Temperature / K]],Coils[Temperature / K],Coils[Coil],"",1)</f>
        <v>Kanthal</v>
      </c>
      <c r="I35" s="1" t="str">
        <f>_xlfn.XLOOKUP(EBF[[#This Row],[Base Temperature / K]]+(1800*1),Coils[Temperature / K],Coils[Coil],"",1)</f>
        <v>Tungstensteel</v>
      </c>
      <c r="J35" s="1" t="str">
        <f>_xlfn.XLOOKUP(EBF[[#This Row],[Base Temperature / K]]+(1800*2),Coils[Temperature / K],Coils[Coil],"",1)</f>
        <v>Naquadah</v>
      </c>
      <c r="K35" s="1" t="str">
        <f>_xlfn.XLOOKUP(EBF[[#This Row],[Base Temperature / K]]+(1800*3),Coils[Temperature / K],Coils[Coil],"",1)</f>
        <v>Trinium</v>
      </c>
      <c r="L35" s="1" t="str">
        <f>_xlfn.XLOOKUP(EBF[[#This Row],[Base Temperature / K]]+(1800*4),Coils[Temperature / K],Coils[Coil],"",1)</f>
        <v>Tritanium</v>
      </c>
      <c r="M35" s="1" t="str">
        <f>_xlfn.XLOOKUP(EBF[[#This Row],[Base Temperature / K]]+(1800*5),Coils[Temperature / K],Coils[Coil],"",1)</f>
        <v/>
      </c>
      <c r="N35" s="1" t="s">
        <v>3</v>
      </c>
      <c r="O35" s="1" t="s">
        <v>79</v>
      </c>
      <c r="P35" s="2">
        <f>IFERROR(_xlfn.XLOOKUP(EBF[[#This Row],[Coils]],Coils[Coil],Coils[Temperature / K],"",1)+((_xlfn.XLOOKUP(EBF[[#This Row],[Energy hatch]],Voltage[Voltage],Voltage[Voltage tier],"",0)-1)*100),"")</f>
        <v>5500</v>
      </c>
      <c r="Q35" s="5">
        <f>IFERROR(0.95^ROUNDDOWN((EBF[[#This Row],[Heat capacity / K]]-EBF[[#This Row],[Base Temperature / K]])/900,0),"")</f>
        <v>0.85737499999999989</v>
      </c>
      <c r="R35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411.53999999999996</v>
      </c>
      <c r="S35" s="2">
        <f>EBF[[#This Row],[EU/t]]*4</f>
        <v>1646.1599999999999</v>
      </c>
      <c r="T35" s="4">
        <f>IFERROR(1/(2^ROUNDDOWN((EBF[[#This Row],[Heat capacity / K]]-EBF[[#This Row],[Base Temperature / K]])/1800,0)),"")</f>
        <v>0.5</v>
      </c>
      <c r="U35" s="4">
        <f>IFERROR(1/2^(_xlfn.XLOOKUP(EBF[[#This Row],[Energy hatch]],Voltage[Voltage],Voltage[Voltage tier],"",0)-(_xlfn.XLOOKUP(EBF[[#This Row],[Base voltage]],Voltage[Voltage],Voltage[Voltage tier],"",0))),"")</f>
        <v>1</v>
      </c>
      <c r="V35">
        <f>IFERROR(EBF[[#This Row],[Coil overclock ]]*EBF[[#This Row],[Energy overclock]],"")</f>
        <v>0.5</v>
      </c>
      <c r="W35" s="8">
        <f>IFERROR(IF(ROUNDDOWN(EBF[[#This Row],[Total OC]]*EBF[[#This Row],[Base duration / s]],1)&lt;0.1,0.1,ROUNDDOWN(EBF[[#This Row],[Total OC]]*EBF[[#This Row],[Base duration / s]],1)),"")</f>
        <v>32.5</v>
      </c>
    </row>
    <row r="36" spans="2:23" x14ac:dyDescent="0.25">
      <c r="B36" s="3" t="s">
        <v>50</v>
      </c>
      <c r="C36" s="2">
        <v>480</v>
      </c>
      <c r="D36" s="1" t="str">
        <f>_xlfn.XLOOKUP(EBF[[#This Row],[Base EU/T]],Voltage[Voltage / V],Voltage[Voltage],"",1)</f>
        <v>HV</v>
      </c>
      <c r="E36" s="2">
        <v>45</v>
      </c>
      <c r="F36" s="2">
        <v>2750</v>
      </c>
      <c r="G36" s="1" t="s">
        <v>36</v>
      </c>
      <c r="H36" s="1" t="str">
        <f>_xlfn.XLOOKUP(EBF[[#This Row],[Base Temperature / K]],Coils[Temperature / K],Coils[Coil],"",1)</f>
        <v>Nichrome</v>
      </c>
      <c r="I36" s="1" t="str">
        <f>_xlfn.XLOOKUP(EBF[[#This Row],[Base Temperature / K]]+(1800*1),Coils[Temperature / K],Coils[Coil],"",1)</f>
        <v>HSS-G</v>
      </c>
      <c r="J36" s="1" t="str">
        <f>_xlfn.XLOOKUP(EBF[[#This Row],[Base Temperature / K]]+(1800*2),Coils[Temperature / K],Coils[Coil],"",1)</f>
        <v>Naquadah</v>
      </c>
      <c r="K36" s="1" t="str">
        <f>_xlfn.XLOOKUP(EBF[[#This Row],[Base Temperature / K]]+(1800*3),Coils[Temperature / K],Coils[Coil],"",1)</f>
        <v>Trinium</v>
      </c>
      <c r="L36" s="1" t="str">
        <f>_xlfn.XLOOKUP(EBF[[#This Row],[Base Temperature / K]]+(1800*4),Coils[Temperature / K],Coils[Coil],"",1)</f>
        <v>Tritanium</v>
      </c>
      <c r="M36" s="1" t="str">
        <f>_xlfn.XLOOKUP(EBF[[#This Row],[Base Temperature / K]]+(1800*5),Coils[Temperature / K],Coils[Coil],"",1)</f>
        <v/>
      </c>
      <c r="N36" s="1" t="s">
        <v>3</v>
      </c>
      <c r="O36" s="1" t="s">
        <v>79</v>
      </c>
      <c r="P36" s="2">
        <f>IFERROR(_xlfn.XLOOKUP(EBF[[#This Row],[Coils]],Coils[Coil],Coils[Temperature / K],"",1)+((_xlfn.XLOOKUP(EBF[[#This Row],[Energy hatch]],Voltage[Voltage],Voltage[Voltage tier],"",0)-1)*100),"")</f>
        <v>5500</v>
      </c>
      <c r="Q36" s="5">
        <f>IFERROR(0.95^ROUNDDOWN((EBF[[#This Row],[Heat capacity / K]]-EBF[[#This Row],[Base Temperature / K]])/900,0),"")</f>
        <v>0.85737499999999989</v>
      </c>
      <c r="R36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411.53999999999996</v>
      </c>
      <c r="S36" s="2">
        <f>EBF[[#This Row],[EU/t]]*4</f>
        <v>1646.1599999999999</v>
      </c>
      <c r="T36" s="4">
        <f>IFERROR(1/(2^ROUNDDOWN((EBF[[#This Row],[Heat capacity / K]]-EBF[[#This Row],[Base Temperature / K]])/1800,0)),"")</f>
        <v>0.5</v>
      </c>
      <c r="U36" s="4">
        <f>IFERROR(1/2^(_xlfn.XLOOKUP(EBF[[#This Row],[Energy hatch]],Voltage[Voltage],Voltage[Voltage tier],"",0)-(_xlfn.XLOOKUP(EBF[[#This Row],[Base voltage]],Voltage[Voltage],Voltage[Voltage tier],"",0))),"")</f>
        <v>1</v>
      </c>
      <c r="V36">
        <f>IFERROR(EBF[[#This Row],[Coil overclock ]]*EBF[[#This Row],[Energy overclock]],"")</f>
        <v>0.5</v>
      </c>
      <c r="W36" s="8">
        <f>IFERROR(IF(ROUNDDOWN(EBF[[#This Row],[Total OC]]*EBF[[#This Row],[Base duration / s]],1)&lt;0.1,0.1,ROUNDDOWN(EBF[[#This Row],[Total OC]]*EBF[[#This Row],[Base duration / s]],1)),"")</f>
        <v>22.5</v>
      </c>
    </row>
    <row r="37" spans="2:23" x14ac:dyDescent="0.25">
      <c r="B37" s="3" t="s">
        <v>95</v>
      </c>
      <c r="C37" s="2">
        <v>120</v>
      </c>
      <c r="D37" s="1" t="str">
        <f>_xlfn.XLOOKUP(EBF[[#This Row],[Base EU/T]],Voltage[Voltage / V],Voltage[Voltage],"",1)</f>
        <v>MV</v>
      </c>
      <c r="E37" s="2">
        <v>153.65</v>
      </c>
      <c r="F37" s="2">
        <v>2846</v>
      </c>
      <c r="G37" s="1"/>
      <c r="H37" s="1" t="str">
        <f>_xlfn.XLOOKUP(EBF[[#This Row],[Base Temperature / K]],Coils[Temperature / K],Coils[Coil],"",1)</f>
        <v>Nichrome</v>
      </c>
      <c r="I37" s="1" t="str">
        <f>_xlfn.XLOOKUP(EBF[[#This Row],[Base Temperature / K]]+(1800*1),Coils[Temperature / K],Coils[Coil],"",1)</f>
        <v>HSS-G</v>
      </c>
      <c r="J37" s="1" t="str">
        <f>_xlfn.XLOOKUP(EBF[[#This Row],[Base Temperature / K]]+(1800*2),Coils[Temperature / K],Coils[Coil],"",1)</f>
        <v>Naquadah</v>
      </c>
      <c r="K37" s="1" t="str">
        <f>_xlfn.XLOOKUP(EBF[[#This Row],[Base Temperature / K]]+(1800*3),Coils[Temperature / K],Coils[Coil],"",1)</f>
        <v>Trinium</v>
      </c>
      <c r="L37" s="1" t="str">
        <f>_xlfn.XLOOKUP(EBF[[#This Row],[Base Temperature / K]]+(1800*4),Coils[Temperature / K],Coils[Coil],"",1)</f>
        <v>Tritanium</v>
      </c>
      <c r="M37" s="1" t="str">
        <f>_xlfn.XLOOKUP(EBF[[#This Row],[Base Temperature / K]]+(1800*5),Coils[Temperature / K],Coils[Coil],"",1)</f>
        <v/>
      </c>
      <c r="N37" s="1" t="s">
        <v>3</v>
      </c>
      <c r="O37" s="1" t="s">
        <v>79</v>
      </c>
      <c r="P37" s="2">
        <f>IFERROR(_xlfn.XLOOKUP(EBF[[#This Row],[Coils]],Coils[Coil],Coils[Temperature / K],"",1)+((_xlfn.XLOOKUP(EBF[[#This Row],[Energy hatch]],Voltage[Voltage],Voltage[Voltage tier],"",0)-1)*100),"")</f>
        <v>5500</v>
      </c>
      <c r="Q37" s="5">
        <f>IFERROR(0.95^ROUNDDOWN((EBF[[#This Row],[Heat capacity / K]]-EBF[[#This Row],[Base Temperature / K]])/900,0),"")</f>
        <v>0.90249999999999997</v>
      </c>
      <c r="R37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433.2</v>
      </c>
      <c r="S37" s="2">
        <f>EBF[[#This Row],[EU/t]]*4</f>
        <v>1732.8</v>
      </c>
      <c r="T37" s="4">
        <f>IFERROR(1/(2^ROUNDDOWN((EBF[[#This Row],[Heat capacity / K]]-EBF[[#This Row],[Base Temperature / K]])/1800,0)),"")</f>
        <v>0.5</v>
      </c>
      <c r="U37" s="4">
        <f>IFERROR(1/2^(_xlfn.XLOOKUP(EBF[[#This Row],[Energy hatch]],Voltage[Voltage],Voltage[Voltage tier],"",0)-(_xlfn.XLOOKUP(EBF[[#This Row],[Base voltage]],Voltage[Voltage],Voltage[Voltage tier],"",0))),"")</f>
        <v>0.5</v>
      </c>
      <c r="V37">
        <f>IFERROR(EBF[[#This Row],[Coil overclock ]]*EBF[[#This Row],[Energy overclock]],"")</f>
        <v>0.25</v>
      </c>
      <c r="W37" s="8">
        <f>IFERROR(IF(ROUNDDOWN(EBF[[#This Row],[Total OC]]*EBF[[#This Row],[Base duration / s]],1)&lt;0.1,0.1,ROUNDDOWN(EBF[[#This Row],[Total OC]]*EBF[[#This Row],[Base duration / s]],1)),"")</f>
        <v>38.4</v>
      </c>
    </row>
    <row r="38" spans="2:23" x14ac:dyDescent="0.25">
      <c r="B38" s="3" t="s">
        <v>64</v>
      </c>
      <c r="C38" s="2">
        <v>1920</v>
      </c>
      <c r="D38" s="1" t="str">
        <f>_xlfn.XLOOKUP(EBF[[#This Row],[Base EU/T]],Voltage[Voltage / V],Voltage[Voltage],"",1)</f>
        <v>EV</v>
      </c>
      <c r="E38" s="2">
        <v>50</v>
      </c>
      <c r="F38" s="2">
        <v>3000</v>
      </c>
      <c r="G38" s="1" t="s">
        <v>36</v>
      </c>
      <c r="H38" s="1" t="str">
        <f>_xlfn.XLOOKUP(EBF[[#This Row],[Base Temperature / K]],Coils[Temperature / K],Coils[Coil],"",1)</f>
        <v>Nichrome</v>
      </c>
      <c r="I38" s="1" t="str">
        <f>_xlfn.XLOOKUP(EBF[[#This Row],[Base Temperature / K]]+(1800*1),Coils[Temperature / K],Coils[Coil],"",1)</f>
        <v>HSS-G</v>
      </c>
      <c r="J38" s="1" t="str">
        <f>_xlfn.XLOOKUP(EBF[[#This Row],[Base Temperature / K]]+(1800*2),Coils[Temperature / K],Coils[Coil],"",1)</f>
        <v>Naquadah</v>
      </c>
      <c r="K38" s="1" t="str">
        <f>_xlfn.XLOOKUP(EBF[[#This Row],[Base Temperature / K]]+(1800*3),Coils[Temperature / K],Coils[Coil],"",1)</f>
        <v>Trinium</v>
      </c>
      <c r="L38" s="1" t="str">
        <f>_xlfn.XLOOKUP(EBF[[#This Row],[Base Temperature / K]]+(1800*4),Coils[Temperature / K],Coils[Coil],"",1)</f>
        <v>Tritanium</v>
      </c>
      <c r="M38" s="1" t="str">
        <f>_xlfn.XLOOKUP(EBF[[#This Row],[Base Temperature / K]]+(1800*5),Coils[Temperature / K],Coils[Coil],"",1)</f>
        <v/>
      </c>
      <c r="N38" s="1" t="s">
        <v>4</v>
      </c>
      <c r="O38" s="1" t="s">
        <v>79</v>
      </c>
      <c r="P38" s="2">
        <f>IFERROR(_xlfn.XLOOKUP(EBF[[#This Row],[Coils]],Coils[Coil],Coils[Temperature / K],"",1)+((_xlfn.XLOOKUP(EBF[[#This Row],[Energy hatch]],Voltage[Voltage],Voltage[Voltage tier],"",0)-1)*100),"")</f>
        <v>5600</v>
      </c>
      <c r="Q38" s="5">
        <f>IFERROR(0.95^ROUNDDOWN((EBF[[#This Row],[Heat capacity / K]]-EBF[[#This Row],[Base Temperature / K]])/900,0),"")</f>
        <v>0.90249999999999997</v>
      </c>
      <c r="R38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1732.8</v>
      </c>
      <c r="S38" s="2">
        <f>EBF[[#This Row],[EU/t]]*4</f>
        <v>6931.2</v>
      </c>
      <c r="T38" s="4">
        <f>IFERROR(1/(2^ROUNDDOWN((EBF[[#This Row],[Heat capacity / K]]-EBF[[#This Row],[Base Temperature / K]])/1800,0)),"")</f>
        <v>0.5</v>
      </c>
      <c r="U38" s="4">
        <f>IFERROR(1/2^(_xlfn.XLOOKUP(EBF[[#This Row],[Energy hatch]],Voltage[Voltage],Voltage[Voltage tier],"",0)-(_xlfn.XLOOKUP(EBF[[#This Row],[Base voltage]],Voltage[Voltage],Voltage[Voltage tier],"",0))),"")</f>
        <v>1</v>
      </c>
      <c r="V38">
        <f>IFERROR(EBF[[#This Row],[Coil overclock ]]*EBF[[#This Row],[Energy overclock]],"")</f>
        <v>0.5</v>
      </c>
      <c r="W38" s="8">
        <f>IFERROR(IF(ROUNDDOWN(EBF[[#This Row],[Total OC]]*EBF[[#This Row],[Base duration / s]],1)&lt;0.1,0.1,ROUNDDOWN(EBF[[#This Row],[Total OC]]*EBF[[#This Row],[Base duration / s]],1)),"")</f>
        <v>25</v>
      </c>
    </row>
    <row r="39" spans="2:23" x14ac:dyDescent="0.25">
      <c r="B39" s="3" t="s">
        <v>86</v>
      </c>
      <c r="C39" s="2">
        <v>480</v>
      </c>
      <c r="D39" s="1" t="str">
        <f>_xlfn.XLOOKUP(EBF[[#This Row],[Base EU/T]],Voltage[Voltage / V],Voltage[Voltage],"",1)</f>
        <v>HV</v>
      </c>
      <c r="E39" s="2">
        <v>75</v>
      </c>
      <c r="F39" s="2">
        <v>3058</v>
      </c>
      <c r="G39" s="1"/>
      <c r="H39" s="1" t="str">
        <f>_xlfn.XLOOKUP(EBF[[#This Row],[Base Temperature / K]],Coils[Temperature / K],Coils[Coil],"",1)</f>
        <v>Nichrome</v>
      </c>
      <c r="I39" s="1" t="str">
        <f>_xlfn.XLOOKUP(EBF[[#This Row],[Base Temperature / K]]+(1800*1),Coils[Temperature / K],Coils[Coil],"",1)</f>
        <v>HSS-G</v>
      </c>
      <c r="J39" s="1" t="str">
        <f>_xlfn.XLOOKUP(EBF[[#This Row],[Base Temperature / K]]+(1800*2),Coils[Temperature / K],Coils[Coil],"",1)</f>
        <v>Naquadah</v>
      </c>
      <c r="K39" s="1" t="str">
        <f>_xlfn.XLOOKUP(EBF[[#This Row],[Base Temperature / K]]+(1800*3),Coils[Temperature / K],Coils[Coil],"",1)</f>
        <v>Trinium</v>
      </c>
      <c r="L39" s="1" t="str">
        <f>_xlfn.XLOOKUP(EBF[[#This Row],[Base Temperature / K]]+(1800*4),Coils[Temperature / K],Coils[Coil],"",1)</f>
        <v>Tritanium</v>
      </c>
      <c r="M39" s="1" t="str">
        <f>_xlfn.XLOOKUP(EBF[[#This Row],[Base Temperature / K]]+(1800*5),Coils[Temperature / K],Coils[Coil],"",1)</f>
        <v/>
      </c>
      <c r="N39" s="1" t="s">
        <v>3</v>
      </c>
      <c r="O39" s="1" t="s">
        <v>79</v>
      </c>
      <c r="P39" s="2">
        <f>IFERROR(_xlfn.XLOOKUP(EBF[[#This Row],[Coils]],Coils[Coil],Coils[Temperature / K],"",1)+((_xlfn.XLOOKUP(EBF[[#This Row],[Energy hatch]],Voltage[Voltage],Voltage[Voltage tier],"",0)-1)*100),"")</f>
        <v>5500</v>
      </c>
      <c r="Q39" s="5">
        <f>IFERROR(0.95^ROUNDDOWN((EBF[[#This Row],[Heat capacity / K]]-EBF[[#This Row],[Base Temperature / K]])/900,0),"")</f>
        <v>0.90249999999999997</v>
      </c>
      <c r="R39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433.2</v>
      </c>
      <c r="S39" s="2">
        <f>EBF[[#This Row],[EU/t]]*4</f>
        <v>1732.8</v>
      </c>
      <c r="T39" s="4">
        <f>IFERROR(1/(2^ROUNDDOWN((EBF[[#This Row],[Heat capacity / K]]-EBF[[#This Row],[Base Temperature / K]])/1800,0)),"")</f>
        <v>0.5</v>
      </c>
      <c r="U39" s="4">
        <f>IFERROR(1/2^(_xlfn.XLOOKUP(EBF[[#This Row],[Energy hatch]],Voltage[Voltage],Voltage[Voltage tier],"",0)-(_xlfn.XLOOKUP(EBF[[#This Row],[Base voltage]],Voltage[Voltage],Voltage[Voltage tier],"",0))),"")</f>
        <v>1</v>
      </c>
      <c r="V39">
        <f>IFERROR(EBF[[#This Row],[Coil overclock ]]*EBF[[#This Row],[Energy overclock]],"")</f>
        <v>0.5</v>
      </c>
      <c r="W39" s="8">
        <f>IFERROR(IF(ROUNDDOWN(EBF[[#This Row],[Total OC]]*EBF[[#This Row],[Base duration / s]],1)&lt;0.1,0.1,ROUNDDOWN(EBF[[#This Row],[Total OC]]*EBF[[#This Row],[Base duration / s]],1)),"")</f>
        <v>37.5</v>
      </c>
    </row>
    <row r="40" spans="2:23" x14ac:dyDescent="0.25">
      <c r="B40" s="3" t="s">
        <v>87</v>
      </c>
      <c r="C40" s="2">
        <v>480</v>
      </c>
      <c r="D40" s="1" t="str">
        <f>_xlfn.XLOOKUP(EBF[[#This Row],[Base EU/T]],Voltage[Voltage / V],Voltage[Voltage],"",1)</f>
        <v>HV</v>
      </c>
      <c r="E40" s="2">
        <v>75</v>
      </c>
      <c r="F40" s="2">
        <v>3300</v>
      </c>
      <c r="G40" s="1"/>
      <c r="H40" s="1" t="str">
        <f>_xlfn.XLOOKUP(EBF[[#This Row],[Base Temperature / K]],Coils[Temperature / K],Coils[Coil],"",1)</f>
        <v>Nichrome</v>
      </c>
      <c r="I40" s="1" t="str">
        <f>_xlfn.XLOOKUP(EBF[[#This Row],[Base Temperature / K]]+(1800*1),Coils[Temperature / K],Coils[Coil],"",1)</f>
        <v>HSS-G</v>
      </c>
      <c r="J40" s="1" t="str">
        <f>_xlfn.XLOOKUP(EBF[[#This Row],[Base Temperature / K]]+(1800*2),Coils[Temperature / K],Coils[Coil],"",1)</f>
        <v>Naquadah</v>
      </c>
      <c r="K40" s="1" t="str">
        <f>_xlfn.XLOOKUP(EBF[[#This Row],[Base Temperature / K]]+(1800*3),Coils[Temperature / K],Coils[Coil],"",1)</f>
        <v>Trinium</v>
      </c>
      <c r="L40" s="1" t="str">
        <f>_xlfn.XLOOKUP(EBF[[#This Row],[Base Temperature / K]]+(1800*4),Coils[Temperature / K],Coils[Coil],"",1)</f>
        <v>Tritanium</v>
      </c>
      <c r="M40" s="1" t="str">
        <f>_xlfn.XLOOKUP(EBF[[#This Row],[Base Temperature / K]]+(1800*5),Coils[Temperature / K],Coils[Coil],"",1)</f>
        <v/>
      </c>
      <c r="N40" s="1" t="s">
        <v>3</v>
      </c>
      <c r="O40" s="1" t="s">
        <v>79</v>
      </c>
      <c r="P40" s="2">
        <f>IFERROR(_xlfn.XLOOKUP(EBF[[#This Row],[Coils]],Coils[Coil],Coils[Temperature / K],"",1)+((_xlfn.XLOOKUP(EBF[[#This Row],[Energy hatch]],Voltage[Voltage],Voltage[Voltage tier],"",0)-1)*100),"")</f>
        <v>5500</v>
      </c>
      <c r="Q40" s="5">
        <f>IFERROR(0.95^ROUNDDOWN((EBF[[#This Row],[Heat capacity / K]]-EBF[[#This Row],[Base Temperature / K]])/900,0),"")</f>
        <v>0.90249999999999997</v>
      </c>
      <c r="R40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433.2</v>
      </c>
      <c r="S40" s="2">
        <f>EBF[[#This Row],[EU/t]]*4</f>
        <v>1732.8</v>
      </c>
      <c r="T40" s="4">
        <f>IFERROR(1/(2^ROUNDDOWN((EBF[[#This Row],[Heat capacity / K]]-EBF[[#This Row],[Base Temperature / K]])/1800,0)),"")</f>
        <v>0.5</v>
      </c>
      <c r="U40" s="4">
        <f>IFERROR(1/2^(_xlfn.XLOOKUP(EBF[[#This Row],[Energy hatch]],Voltage[Voltage],Voltage[Voltage tier],"",0)-(_xlfn.XLOOKUP(EBF[[#This Row],[Base voltage]],Voltage[Voltage],Voltage[Voltage tier],"",0))),"")</f>
        <v>1</v>
      </c>
      <c r="V40">
        <f>IFERROR(EBF[[#This Row],[Coil overclock ]]*EBF[[#This Row],[Energy overclock]],"")</f>
        <v>0.5</v>
      </c>
      <c r="W40" s="8">
        <f>IFERROR(IF(ROUNDDOWN(EBF[[#This Row],[Total OC]]*EBF[[#This Row],[Base duration / s]],1)&lt;0.1,0.1,ROUNDDOWN(EBF[[#This Row],[Total OC]]*EBF[[#This Row],[Base duration / s]],1)),"")</f>
        <v>37.5</v>
      </c>
    </row>
    <row r="41" spans="2:23" x14ac:dyDescent="0.25">
      <c r="B41" s="3" t="s">
        <v>82</v>
      </c>
      <c r="C41" s="2">
        <v>1920</v>
      </c>
      <c r="D41" s="1" t="str">
        <f>_xlfn.XLOOKUP(EBF[[#This Row],[Base EU/T]],Voltage[Voltage / V],Voltage[Voltage],"",1)</f>
        <v>EV</v>
      </c>
      <c r="E41" s="2">
        <v>90</v>
      </c>
      <c r="F41" s="2">
        <v>3600</v>
      </c>
      <c r="G41" s="1" t="s">
        <v>46</v>
      </c>
      <c r="H41" s="1" t="str">
        <f>_xlfn.XLOOKUP(EBF[[#This Row],[Base Temperature / K]],Coils[Temperature / K],Coils[Coil],"",1)</f>
        <v>Nichrome</v>
      </c>
      <c r="I41" s="1" t="str">
        <f>_xlfn.XLOOKUP(EBF[[#This Row],[Base Temperature / K]]+(1800*1),Coils[Temperature / K],Coils[Coil],"",1)</f>
        <v>HSS-G</v>
      </c>
      <c r="J41" s="1" t="str">
        <f>_xlfn.XLOOKUP(EBF[[#This Row],[Base Temperature / K]]+(1800*2),Coils[Temperature / K],Coils[Coil],"",1)</f>
        <v>Naquadah</v>
      </c>
      <c r="K41" s="1" t="str">
        <f>_xlfn.XLOOKUP(EBF[[#This Row],[Base Temperature / K]]+(1800*3),Coils[Temperature / K],Coils[Coil],"",1)</f>
        <v>Trinium</v>
      </c>
      <c r="L41" s="1" t="str">
        <f>_xlfn.XLOOKUP(EBF[[#This Row],[Base Temperature / K]]+(1800*4),Coils[Temperature / K],Coils[Coil],"",1)</f>
        <v>Tritanium</v>
      </c>
      <c r="M41" s="1" t="str">
        <f>_xlfn.XLOOKUP(EBF[[#This Row],[Base Temperature / K]]+(1800*5),Coils[Temperature / K],Coils[Coil],"",1)</f>
        <v/>
      </c>
      <c r="N41" s="1" t="s">
        <v>4</v>
      </c>
      <c r="O41" s="1" t="s">
        <v>79</v>
      </c>
      <c r="P41" s="2">
        <f>IFERROR(_xlfn.XLOOKUP(EBF[[#This Row],[Coils]],Coils[Coil],Coils[Temperature / K],"",1)+((_xlfn.XLOOKUP(EBF[[#This Row],[Energy hatch]],Voltage[Voltage],Voltage[Voltage tier],"",0)-1)*100),"")</f>
        <v>5600</v>
      </c>
      <c r="Q41" s="5">
        <f>IFERROR(0.95^ROUNDDOWN((EBF[[#This Row],[Heat capacity / K]]-EBF[[#This Row],[Base Temperature / K]])/900,0),"")</f>
        <v>0.90249999999999997</v>
      </c>
      <c r="R41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1732.8</v>
      </c>
      <c r="S41" s="2">
        <f>EBF[[#This Row],[EU/t]]*4</f>
        <v>6931.2</v>
      </c>
      <c r="T41" s="4">
        <f>IFERROR(1/(2^ROUNDDOWN((EBF[[#This Row],[Heat capacity / K]]-EBF[[#This Row],[Base Temperature / K]])/1800,0)),"")</f>
        <v>0.5</v>
      </c>
      <c r="U41" s="4">
        <f>IFERROR(1/2^(_xlfn.XLOOKUP(EBF[[#This Row],[Energy hatch]],Voltage[Voltage],Voltage[Voltage tier],"",0)-(_xlfn.XLOOKUP(EBF[[#This Row],[Base voltage]],Voltage[Voltage],Voltage[Voltage tier],"",0))),"")</f>
        <v>1</v>
      </c>
      <c r="V41">
        <f>IFERROR(EBF[[#This Row],[Coil overclock ]]*EBF[[#This Row],[Energy overclock]],"")</f>
        <v>0.5</v>
      </c>
      <c r="W41" s="8">
        <f>IFERROR(IF(ROUNDDOWN(EBF[[#This Row],[Total OC]]*EBF[[#This Row],[Base duration / s]],1)&lt;0.1,0.1,ROUNDDOWN(EBF[[#This Row],[Total OC]]*EBF[[#This Row],[Base duration / s]],1)),"")</f>
        <v>45</v>
      </c>
    </row>
    <row r="42" spans="2:23" x14ac:dyDescent="0.25">
      <c r="B42" s="3" t="s">
        <v>99</v>
      </c>
      <c r="C42" s="2">
        <v>120</v>
      </c>
      <c r="D42" s="1" t="str">
        <f>_xlfn.XLOOKUP(EBF[[#This Row],[Base EU/T]],Voltage[Voltage / V],Voltage[Voltage],"",1)</f>
        <v>MV</v>
      </c>
      <c r="E42" s="2">
        <v>640</v>
      </c>
      <c r="F42" s="2">
        <v>4000</v>
      </c>
      <c r="G42" s="1" t="s">
        <v>36</v>
      </c>
      <c r="H42" s="1" t="str">
        <f>_xlfn.XLOOKUP(EBF[[#This Row],[Base Temperature / K]],Coils[Temperature / K],Coils[Coil],"",1)</f>
        <v>Tungstensteel</v>
      </c>
      <c r="I42" s="1" t="str">
        <f>_xlfn.XLOOKUP(EBF[[#This Row],[Base Temperature / K]]+(1800*1),Coils[Temperature / K],Coils[Coil],"",1)</f>
        <v>Naquadah</v>
      </c>
      <c r="J42" s="1" t="str">
        <f>_xlfn.XLOOKUP(EBF[[#This Row],[Base Temperature / K]]+(1800*2),Coils[Temperature / K],Coils[Coil],"",1)</f>
        <v>Trinium</v>
      </c>
      <c r="K42" s="1" t="str">
        <f>_xlfn.XLOOKUP(EBF[[#This Row],[Base Temperature / K]]+(1800*3),Coils[Temperature / K],Coils[Coil],"",1)</f>
        <v>Tritanium</v>
      </c>
      <c r="L42" s="1" t="str">
        <f>_xlfn.XLOOKUP(EBF[[#This Row],[Base Temperature / K]]+(1800*4),Coils[Temperature / K],Coils[Coil],"",1)</f>
        <v/>
      </c>
      <c r="M42" s="1" t="str">
        <f>_xlfn.XLOOKUP(EBF[[#This Row],[Base Temperature / K]]+(1800*5),Coils[Temperature / K],Coils[Coil],"",1)</f>
        <v/>
      </c>
      <c r="N42" s="1" t="s">
        <v>3</v>
      </c>
      <c r="O42" s="1" t="s">
        <v>64</v>
      </c>
      <c r="P42" s="2">
        <f>IFERROR(_xlfn.XLOOKUP(EBF[[#This Row],[Coils]],Coils[Coil],Coils[Temperature / K],"",1)+((_xlfn.XLOOKUP(EBF[[#This Row],[Energy hatch]],Voltage[Voltage],Voltage[Voltage tier],"",0)-1)*100),"")</f>
        <v>4600</v>
      </c>
      <c r="Q42" s="5">
        <f>IFERROR(0.95^ROUNDDOWN((EBF[[#This Row],[Heat capacity / K]]-EBF[[#This Row],[Base Temperature / K]])/900,0),"")</f>
        <v>1</v>
      </c>
      <c r="R42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480</v>
      </c>
      <c r="S42" s="2">
        <f>EBF[[#This Row],[EU/t]]*4</f>
        <v>1920</v>
      </c>
      <c r="T42" s="4">
        <f>IFERROR(1/(2^ROUNDDOWN((EBF[[#This Row],[Heat capacity / K]]-EBF[[#This Row],[Base Temperature / K]])/1800,0)),"")</f>
        <v>1</v>
      </c>
      <c r="U42" s="4">
        <f>IFERROR(1/2^(_xlfn.XLOOKUP(EBF[[#This Row],[Energy hatch]],Voltage[Voltage],Voltage[Voltage tier],"",0)-(_xlfn.XLOOKUP(EBF[[#This Row],[Base voltage]],Voltage[Voltage],Voltage[Voltage tier],"",0))),"")</f>
        <v>0.5</v>
      </c>
      <c r="V42">
        <f>IFERROR(EBF[[#This Row],[Coil overclock ]]*EBF[[#This Row],[Energy overclock]],"")</f>
        <v>0.5</v>
      </c>
      <c r="W42" s="8">
        <f>IFERROR(IF(ROUNDDOWN(EBF[[#This Row],[Total OC]]*EBF[[#This Row],[Base duration / s]],1)&lt;0.1,0.1,ROUNDDOWN(EBF[[#This Row],[Total OC]]*EBF[[#This Row],[Base duration / s]],1)),"")</f>
        <v>320</v>
      </c>
    </row>
    <row r="43" spans="2:23" x14ac:dyDescent="0.25">
      <c r="B43" s="3" t="s">
        <v>75</v>
      </c>
      <c r="C43" s="2">
        <v>1920</v>
      </c>
      <c r="D43" s="1" t="str">
        <f>_xlfn.XLOOKUP(EBF[[#This Row],[Base EU/T]],Voltage[Voltage / V],Voltage[Voltage],"",1)</f>
        <v>EV</v>
      </c>
      <c r="E43" s="2">
        <v>60</v>
      </c>
      <c r="F43" s="2">
        <v>4120</v>
      </c>
      <c r="G43" s="1" t="s">
        <v>36</v>
      </c>
      <c r="H43" s="1" t="str">
        <f>_xlfn.XLOOKUP(EBF[[#This Row],[Base Temperature / K]],Coils[Temperature / K],Coils[Coil],"",1)</f>
        <v>Tungstensteel</v>
      </c>
      <c r="I43" s="1" t="str">
        <f>_xlfn.XLOOKUP(EBF[[#This Row],[Base Temperature / K]]+(1800*1),Coils[Temperature / K],Coils[Coil],"",1)</f>
        <v>Naquadah</v>
      </c>
      <c r="J43" s="1" t="str">
        <f>_xlfn.XLOOKUP(EBF[[#This Row],[Base Temperature / K]]+(1800*2),Coils[Temperature / K],Coils[Coil],"",1)</f>
        <v>Trinium</v>
      </c>
      <c r="K43" s="1" t="str">
        <f>_xlfn.XLOOKUP(EBF[[#This Row],[Base Temperature / K]]+(1800*3),Coils[Temperature / K],Coils[Coil],"",1)</f>
        <v>Tritanium</v>
      </c>
      <c r="L43" s="1" t="str">
        <f>_xlfn.XLOOKUP(EBF[[#This Row],[Base Temperature / K]]+(1800*4),Coils[Temperature / K],Coils[Coil],"",1)</f>
        <v/>
      </c>
      <c r="M43" s="1" t="str">
        <f>_xlfn.XLOOKUP(EBF[[#This Row],[Base Temperature / K]]+(1800*5),Coils[Temperature / K],Coils[Coil],"",1)</f>
        <v/>
      </c>
      <c r="N43" s="1" t="s">
        <v>4</v>
      </c>
      <c r="O43" s="1" t="s">
        <v>64</v>
      </c>
      <c r="P43" s="2">
        <f>IFERROR(_xlfn.XLOOKUP(EBF[[#This Row],[Coils]],Coils[Coil],Coils[Temperature / K],"",1)+((_xlfn.XLOOKUP(EBF[[#This Row],[Energy hatch]],Voltage[Voltage],Voltage[Voltage tier],"",0)-1)*100),"")</f>
        <v>4700</v>
      </c>
      <c r="Q43" s="5">
        <f>IFERROR(0.95^ROUNDDOWN((EBF[[#This Row],[Heat capacity / K]]-EBF[[#This Row],[Base Temperature / K]])/900,0),"")</f>
        <v>1</v>
      </c>
      <c r="R43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1920</v>
      </c>
      <c r="S43" s="2">
        <f>EBF[[#This Row],[EU/t]]*4</f>
        <v>7680</v>
      </c>
      <c r="T43" s="4">
        <f>IFERROR(1/(2^ROUNDDOWN((EBF[[#This Row],[Heat capacity / K]]-EBF[[#This Row],[Base Temperature / K]])/1800,0)),"")</f>
        <v>1</v>
      </c>
      <c r="U43" s="4">
        <f>IFERROR(1/2^(_xlfn.XLOOKUP(EBF[[#This Row],[Energy hatch]],Voltage[Voltage],Voltage[Voltage tier],"",0)-(_xlfn.XLOOKUP(EBF[[#This Row],[Base voltage]],Voltage[Voltage],Voltage[Voltage tier],"",0))),"")</f>
        <v>1</v>
      </c>
      <c r="V43">
        <f>IFERROR(EBF[[#This Row],[Coil overclock ]]*EBF[[#This Row],[Energy overclock]],"")</f>
        <v>1</v>
      </c>
      <c r="W43" s="8">
        <f>IFERROR(IF(ROUNDDOWN(EBF[[#This Row],[Total OC]]*EBF[[#This Row],[Base duration / s]],1)&lt;0.1,0.1,ROUNDDOWN(EBF[[#This Row],[Total OC]]*EBF[[#This Row],[Base duration / s]],1)),"")</f>
        <v>60</v>
      </c>
    </row>
    <row r="44" spans="2:23" x14ac:dyDescent="0.25">
      <c r="B44" s="20" t="s">
        <v>79</v>
      </c>
      <c r="C44" s="2">
        <v>1920</v>
      </c>
      <c r="D44" s="1" t="str">
        <f>_xlfn.XLOOKUP(EBF[[#This Row],[Base EU/T]],Voltage[Voltage / V],Voltage[Voltage],"",1)</f>
        <v>EV</v>
      </c>
      <c r="E44" s="2">
        <v>65</v>
      </c>
      <c r="F44" s="2">
        <v>4200</v>
      </c>
      <c r="G44" s="1" t="s">
        <v>36</v>
      </c>
      <c r="H44" s="1" t="str">
        <f>_xlfn.XLOOKUP(EBF[[#This Row],[Base Temperature / K]],Coils[Temperature / K],Coils[Coil],"",1)</f>
        <v>Tungstensteel</v>
      </c>
      <c r="I44" s="1" t="str">
        <f>_xlfn.XLOOKUP(EBF[[#This Row],[Base Temperature / K]]+(1800*1),Coils[Temperature / K],Coils[Coil],"",1)</f>
        <v>Naquadah</v>
      </c>
      <c r="J44" s="1" t="str">
        <f>_xlfn.XLOOKUP(EBF[[#This Row],[Base Temperature / K]]+(1800*2),Coils[Temperature / K],Coils[Coil],"",1)</f>
        <v>Trinium</v>
      </c>
      <c r="K44" s="1" t="str">
        <f>_xlfn.XLOOKUP(EBF[[#This Row],[Base Temperature / K]]+(1800*3),Coils[Temperature / K],Coils[Coil],"",1)</f>
        <v>Tritanium</v>
      </c>
      <c r="L44" s="1" t="str">
        <f>_xlfn.XLOOKUP(EBF[[#This Row],[Base Temperature / K]]+(1800*4),Coils[Temperature / K],Coils[Coil],"",1)</f>
        <v/>
      </c>
      <c r="M44" s="1" t="str">
        <f>_xlfn.XLOOKUP(EBF[[#This Row],[Base Temperature / K]]+(1800*5),Coils[Temperature / K],Coils[Coil],"",1)</f>
        <v/>
      </c>
      <c r="N44" s="1" t="s">
        <v>4</v>
      </c>
      <c r="O44" s="1" t="s">
        <v>64</v>
      </c>
      <c r="P44" s="2">
        <f>IFERROR(_xlfn.XLOOKUP(EBF[[#This Row],[Coils]],Coils[Coil],Coils[Temperature / K],"",1)+((_xlfn.XLOOKUP(EBF[[#This Row],[Energy hatch]],Voltage[Voltage],Voltage[Voltage tier],"",0)-1)*100),"")</f>
        <v>4700</v>
      </c>
      <c r="Q44" s="5">
        <f>IFERROR(0.95^ROUNDDOWN((EBF[[#This Row],[Heat capacity / K]]-EBF[[#This Row],[Base Temperature / K]])/900,0),"")</f>
        <v>1</v>
      </c>
      <c r="R44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1920</v>
      </c>
      <c r="S44" s="2">
        <f>EBF[[#This Row],[EU/t]]*4</f>
        <v>7680</v>
      </c>
      <c r="T44" s="4">
        <f>IFERROR(1/(2^ROUNDDOWN((EBF[[#This Row],[Heat capacity / K]]-EBF[[#This Row],[Base Temperature / K]])/1800,0)),"")</f>
        <v>1</v>
      </c>
      <c r="U44" s="4">
        <f>IFERROR(1/2^(_xlfn.XLOOKUP(EBF[[#This Row],[Energy hatch]],Voltage[Voltage],Voltage[Voltage tier],"",0)-(_xlfn.XLOOKUP(EBF[[#This Row],[Base voltage]],Voltage[Voltage],Voltage[Voltage tier],"",0))),"")</f>
        <v>1</v>
      </c>
      <c r="V44">
        <f>IFERROR(EBF[[#This Row],[Coil overclock ]]*EBF[[#This Row],[Energy overclock]],"")</f>
        <v>1</v>
      </c>
      <c r="W44" s="8">
        <f>IFERROR(IF(ROUNDDOWN(EBF[[#This Row],[Total OC]]*EBF[[#This Row],[Base duration / s]],1)&lt;0.1,0.1,ROUNDDOWN(EBF[[#This Row],[Total OC]]*EBF[[#This Row],[Base duration / s]],1)),"")</f>
        <v>65</v>
      </c>
    </row>
    <row r="45" spans="2:23" x14ac:dyDescent="0.25">
      <c r="B45" s="20" t="s">
        <v>63</v>
      </c>
      <c r="C45" s="2">
        <v>1920</v>
      </c>
      <c r="D45" s="1" t="str">
        <f>_xlfn.XLOOKUP(EBF[[#This Row],[Base EU/T]],Voltage[Voltage / V],Voltage[Voltage],"",1)</f>
        <v>EV</v>
      </c>
      <c r="E45" s="2">
        <v>50</v>
      </c>
      <c r="F45" s="2">
        <v>4400</v>
      </c>
      <c r="G45" s="1" t="s">
        <v>36</v>
      </c>
      <c r="H45" s="1" t="str">
        <f>_xlfn.XLOOKUP(EBF[[#This Row],[Base Temperature / K]],Coils[Temperature / K],Coils[Coil],"",1)</f>
        <v>Tungstensteel</v>
      </c>
      <c r="I45" s="1" t="str">
        <f>_xlfn.XLOOKUP(EBF[[#This Row],[Base Temperature / K]]+(1800*1),Coils[Temperature / K],Coils[Coil],"",1)</f>
        <v>Naquadah</v>
      </c>
      <c r="J45" s="1" t="str">
        <f>_xlfn.XLOOKUP(EBF[[#This Row],[Base Temperature / K]]+(1800*2),Coils[Temperature / K],Coils[Coil],"",1)</f>
        <v>Trinium</v>
      </c>
      <c r="K45" s="1" t="str">
        <f>_xlfn.XLOOKUP(EBF[[#This Row],[Base Temperature / K]]+(1800*3),Coils[Temperature / K],Coils[Coil],"",1)</f>
        <v>Tritanium</v>
      </c>
      <c r="L45" s="1" t="str">
        <f>_xlfn.XLOOKUP(EBF[[#This Row],[Base Temperature / K]]+(1800*4),Coils[Temperature / K],Coils[Coil],"",1)</f>
        <v/>
      </c>
      <c r="M45" s="1" t="str">
        <f>_xlfn.XLOOKUP(EBF[[#This Row],[Base Temperature / K]]+(1800*5),Coils[Temperature / K],Coils[Coil],"",1)</f>
        <v/>
      </c>
      <c r="N45" s="1" t="s">
        <v>4</v>
      </c>
      <c r="O45" s="1" t="s">
        <v>64</v>
      </c>
      <c r="P45" s="2">
        <f>IFERROR(_xlfn.XLOOKUP(EBF[[#This Row],[Coils]],Coils[Coil],Coils[Temperature / K],"",1)+((_xlfn.XLOOKUP(EBF[[#This Row],[Energy hatch]],Voltage[Voltage],Voltage[Voltage tier],"",0)-1)*100),"")</f>
        <v>4700</v>
      </c>
      <c r="Q45" s="5">
        <f>IFERROR(0.95^ROUNDDOWN((EBF[[#This Row],[Heat capacity / K]]-EBF[[#This Row],[Base Temperature / K]])/900,0),"")</f>
        <v>1</v>
      </c>
      <c r="R45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1920</v>
      </c>
      <c r="S45" s="2">
        <f>EBF[[#This Row],[EU/t]]*4</f>
        <v>7680</v>
      </c>
      <c r="T45" s="4">
        <f>IFERROR(1/(2^ROUNDDOWN((EBF[[#This Row],[Heat capacity / K]]-EBF[[#This Row],[Base Temperature / K]])/1800,0)),"")</f>
        <v>1</v>
      </c>
      <c r="U45" s="4">
        <f>IFERROR(1/2^(_xlfn.XLOOKUP(EBF[[#This Row],[Energy hatch]],Voltage[Voltage],Voltage[Voltage tier],"",0)-(_xlfn.XLOOKUP(EBF[[#This Row],[Base voltage]],Voltage[Voltage],Voltage[Voltage tier],"",0))),"")</f>
        <v>1</v>
      </c>
      <c r="V45">
        <f>IFERROR(EBF[[#This Row],[Coil overclock ]]*EBF[[#This Row],[Energy overclock]],"")</f>
        <v>1</v>
      </c>
      <c r="W45" s="8">
        <f>IFERROR(IF(ROUNDDOWN(EBF[[#This Row],[Total OC]]*EBF[[#This Row],[Base duration / s]],1)&lt;0.1,0.1,ROUNDDOWN(EBF[[#This Row],[Total OC]]*EBF[[#This Row],[Base duration / s]],1)),"")</f>
        <v>50</v>
      </c>
    </row>
    <row r="46" spans="2:23" x14ac:dyDescent="0.25">
      <c r="B46" s="3" t="s">
        <v>53</v>
      </c>
      <c r="C46" s="2">
        <v>30720</v>
      </c>
      <c r="D46" s="1" t="str">
        <f>_xlfn.XLOOKUP(EBF[[#This Row],[Base EU/T]],Voltage[Voltage / V],Voltage[Voltage],"",1)</f>
        <v>LuV</v>
      </c>
      <c r="E46" s="2">
        <v>45</v>
      </c>
      <c r="F46" s="2">
        <v>4500</v>
      </c>
      <c r="G46" s="1" t="s">
        <v>46</v>
      </c>
      <c r="H46" s="1" t="str">
        <f>_xlfn.XLOOKUP(EBF[[#This Row],[Base Temperature / K]],Coils[Temperature / K],Coils[Coil],"",1)</f>
        <v>Tungstensteel</v>
      </c>
      <c r="I46" s="1" t="str">
        <f>_xlfn.XLOOKUP(EBF[[#This Row],[Base Temperature / K]]+(1800*1),Coils[Temperature / K],Coils[Coil],"",1)</f>
        <v>Naquadah</v>
      </c>
      <c r="J46" s="1" t="str">
        <f>_xlfn.XLOOKUP(EBF[[#This Row],[Base Temperature / K]]+(1800*2),Coils[Temperature / K],Coils[Coil],"",1)</f>
        <v>Trinium</v>
      </c>
      <c r="K46" s="1" t="str">
        <f>_xlfn.XLOOKUP(EBF[[#This Row],[Base Temperature / K]]+(1800*3),Coils[Temperature / K],Coils[Coil],"",1)</f>
        <v>Tritanium</v>
      </c>
      <c r="L46" s="1" t="str">
        <f>_xlfn.XLOOKUP(EBF[[#This Row],[Base Temperature / K]]+(1800*4),Coils[Temperature / K],Coils[Coil],"",1)</f>
        <v/>
      </c>
      <c r="M46" s="1" t="str">
        <f>_xlfn.XLOOKUP(EBF[[#This Row],[Base Temperature / K]]+(1800*5),Coils[Temperature / K],Coils[Coil],"",1)</f>
        <v/>
      </c>
      <c r="N46" s="1" t="s">
        <v>6</v>
      </c>
      <c r="O46" s="1" t="s">
        <v>64</v>
      </c>
      <c r="P46" s="2">
        <f>IFERROR(_xlfn.XLOOKUP(EBF[[#This Row],[Coils]],Coils[Coil],Coils[Temperature / K],"",1)+((_xlfn.XLOOKUP(EBF[[#This Row],[Energy hatch]],Voltage[Voltage],Voltage[Voltage tier],"",0)-1)*100),"")</f>
        <v>4900</v>
      </c>
      <c r="Q46" s="5">
        <f>IFERROR(0.95^ROUNDDOWN((EBF[[#This Row],[Heat capacity / K]]-EBF[[#This Row],[Base Temperature / K]])/900,0),"")</f>
        <v>1</v>
      </c>
      <c r="R46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30720</v>
      </c>
      <c r="S46" s="2">
        <f>EBF[[#This Row],[EU/t]]*4</f>
        <v>122880</v>
      </c>
      <c r="T46" s="4">
        <f>IFERROR(1/(2^ROUNDDOWN((EBF[[#This Row],[Heat capacity / K]]-EBF[[#This Row],[Base Temperature / K]])/1800,0)),"")</f>
        <v>1</v>
      </c>
      <c r="U46" s="4">
        <f>IFERROR(1/2^(_xlfn.XLOOKUP(EBF[[#This Row],[Energy hatch]],Voltage[Voltage],Voltage[Voltage tier],"",0)-(_xlfn.XLOOKUP(EBF[[#This Row],[Base voltage]],Voltage[Voltage],Voltage[Voltage tier],"",0))),"")</f>
        <v>1</v>
      </c>
      <c r="V46">
        <f>IFERROR(EBF[[#This Row],[Coil overclock ]]*EBF[[#This Row],[Energy overclock]],"")</f>
        <v>1</v>
      </c>
      <c r="W46" s="8">
        <f>IFERROR(IF(ROUNDDOWN(EBF[[#This Row],[Total OC]]*EBF[[#This Row],[Base duration / s]],1)&lt;0.1,0.1,ROUNDDOWN(EBF[[#This Row],[Total OC]]*EBF[[#This Row],[Base duration / s]],1)),"")</f>
        <v>45</v>
      </c>
    </row>
    <row r="47" spans="2:23" x14ac:dyDescent="0.25">
      <c r="B47" s="3" t="s">
        <v>66</v>
      </c>
      <c r="C47" s="2">
        <v>30720</v>
      </c>
      <c r="D47" s="1" t="str">
        <f>_xlfn.XLOOKUP(EBF[[#This Row],[Base EU/T]],Voltage[Voltage / V],Voltage[Voltage],"",1)</f>
        <v>LuV</v>
      </c>
      <c r="E47" s="2">
        <v>50</v>
      </c>
      <c r="F47" s="2">
        <v>4500</v>
      </c>
      <c r="G47" s="1" t="s">
        <v>46</v>
      </c>
      <c r="H47" s="1" t="str">
        <f>_xlfn.XLOOKUP(EBF[[#This Row],[Base Temperature / K]],Coils[Temperature / K],Coils[Coil],"",1)</f>
        <v>Tungstensteel</v>
      </c>
      <c r="I47" s="1" t="str">
        <f>_xlfn.XLOOKUP(EBF[[#This Row],[Base Temperature / K]]+(1800*1),Coils[Temperature / K],Coils[Coil],"",1)</f>
        <v>Naquadah</v>
      </c>
      <c r="J47" s="1" t="str">
        <f>_xlfn.XLOOKUP(EBF[[#This Row],[Base Temperature / K]]+(1800*2),Coils[Temperature / K],Coils[Coil],"",1)</f>
        <v>Trinium</v>
      </c>
      <c r="K47" s="1" t="str">
        <f>_xlfn.XLOOKUP(EBF[[#This Row],[Base Temperature / K]]+(1800*3),Coils[Temperature / K],Coils[Coil],"",1)</f>
        <v>Tritanium</v>
      </c>
      <c r="L47" s="1" t="str">
        <f>_xlfn.XLOOKUP(EBF[[#This Row],[Base Temperature / K]]+(1800*4),Coils[Temperature / K],Coils[Coil],"",1)</f>
        <v/>
      </c>
      <c r="M47" s="1" t="str">
        <f>_xlfn.XLOOKUP(EBF[[#This Row],[Base Temperature / K]]+(1800*5),Coils[Temperature / K],Coils[Coil],"",1)</f>
        <v/>
      </c>
      <c r="N47" s="1" t="s">
        <v>6</v>
      </c>
      <c r="O47" s="1" t="s">
        <v>64</v>
      </c>
      <c r="P47" s="2">
        <f>IFERROR(_xlfn.XLOOKUP(EBF[[#This Row],[Coils]],Coils[Coil],Coils[Temperature / K],"",1)+((_xlfn.XLOOKUP(EBF[[#This Row],[Energy hatch]],Voltage[Voltage],Voltage[Voltage tier],"",0)-1)*100),"")</f>
        <v>4900</v>
      </c>
      <c r="Q47" s="5">
        <f>IFERROR(0.95^ROUNDDOWN((EBF[[#This Row],[Heat capacity / K]]-EBF[[#This Row],[Base Temperature / K]])/900,0),"")</f>
        <v>1</v>
      </c>
      <c r="R47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30720</v>
      </c>
      <c r="S47" s="2">
        <f>EBF[[#This Row],[EU/t]]*4</f>
        <v>122880</v>
      </c>
      <c r="T47" s="4">
        <f>IFERROR(1/(2^ROUNDDOWN((EBF[[#This Row],[Heat capacity / K]]-EBF[[#This Row],[Base Temperature / K]])/1800,0)),"")</f>
        <v>1</v>
      </c>
      <c r="U47" s="4">
        <f>IFERROR(1/2^(_xlfn.XLOOKUP(EBF[[#This Row],[Energy hatch]],Voltage[Voltage],Voltage[Voltage tier],"",0)-(_xlfn.XLOOKUP(EBF[[#This Row],[Base voltage]],Voltage[Voltage],Voltage[Voltage tier],"",0))),"")</f>
        <v>1</v>
      </c>
      <c r="V47">
        <f>IFERROR(EBF[[#This Row],[Coil overclock ]]*EBF[[#This Row],[Energy overclock]],"")</f>
        <v>1</v>
      </c>
      <c r="W47" s="8">
        <f>IFERROR(IF(ROUNDDOWN(EBF[[#This Row],[Total OC]]*EBF[[#This Row],[Base duration / s]],1)&lt;0.1,0.1,ROUNDDOWN(EBF[[#This Row],[Total OC]]*EBF[[#This Row],[Base duration / s]],1)),"")</f>
        <v>50</v>
      </c>
    </row>
    <row r="48" spans="2:23" x14ac:dyDescent="0.25">
      <c r="B48" s="3" t="s">
        <v>70</v>
      </c>
      <c r="C48" s="2">
        <v>7680</v>
      </c>
      <c r="D48" s="1" t="str">
        <f>_xlfn.XLOOKUP(EBF[[#This Row],[Base EU/T]],Voltage[Voltage / V],Voltage[Voltage],"",1)</f>
        <v>IV</v>
      </c>
      <c r="E48" s="2">
        <v>55</v>
      </c>
      <c r="F48" s="2">
        <v>4500</v>
      </c>
      <c r="G48" s="1" t="s">
        <v>46</v>
      </c>
      <c r="H48" s="1" t="str">
        <f>_xlfn.XLOOKUP(EBF[[#This Row],[Base Temperature / K]],Coils[Temperature / K],Coils[Coil],"",1)</f>
        <v>Tungstensteel</v>
      </c>
      <c r="I48" s="1" t="str">
        <f>_xlfn.XLOOKUP(EBF[[#This Row],[Base Temperature / K]]+(1800*1),Coils[Temperature / K],Coils[Coil],"",1)</f>
        <v>Naquadah</v>
      </c>
      <c r="J48" s="1" t="str">
        <f>_xlfn.XLOOKUP(EBF[[#This Row],[Base Temperature / K]]+(1800*2),Coils[Temperature / K],Coils[Coil],"",1)</f>
        <v>Trinium</v>
      </c>
      <c r="K48" s="1" t="str">
        <f>_xlfn.XLOOKUP(EBF[[#This Row],[Base Temperature / K]]+(1800*3),Coils[Temperature / K],Coils[Coil],"",1)</f>
        <v>Tritanium</v>
      </c>
      <c r="L48" s="1" t="str">
        <f>_xlfn.XLOOKUP(EBF[[#This Row],[Base Temperature / K]]+(1800*4),Coils[Temperature / K],Coils[Coil],"",1)</f>
        <v/>
      </c>
      <c r="M48" s="1" t="str">
        <f>_xlfn.XLOOKUP(EBF[[#This Row],[Base Temperature / K]]+(1800*5),Coils[Temperature / K],Coils[Coil],"",1)</f>
        <v/>
      </c>
      <c r="N48" s="1" t="s">
        <v>5</v>
      </c>
      <c r="O48" s="1" t="s">
        <v>64</v>
      </c>
      <c r="P48" s="2">
        <f>IFERROR(_xlfn.XLOOKUP(EBF[[#This Row],[Coils]],Coils[Coil],Coils[Temperature / K],"",1)+((_xlfn.XLOOKUP(EBF[[#This Row],[Energy hatch]],Voltage[Voltage],Voltage[Voltage tier],"",0)-1)*100),"")</f>
        <v>4800</v>
      </c>
      <c r="Q48" s="5">
        <f>IFERROR(0.95^ROUNDDOWN((EBF[[#This Row],[Heat capacity / K]]-EBF[[#This Row],[Base Temperature / K]])/900,0),"")</f>
        <v>1</v>
      </c>
      <c r="R48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7680</v>
      </c>
      <c r="S48" s="2">
        <f>EBF[[#This Row],[EU/t]]*4</f>
        <v>30720</v>
      </c>
      <c r="T48" s="4">
        <f>IFERROR(1/(2^ROUNDDOWN((EBF[[#This Row],[Heat capacity / K]]-EBF[[#This Row],[Base Temperature / K]])/1800,0)),"")</f>
        <v>1</v>
      </c>
      <c r="U48" s="4">
        <f>IFERROR(1/2^(_xlfn.XLOOKUP(EBF[[#This Row],[Energy hatch]],Voltage[Voltage],Voltage[Voltage tier],"",0)-(_xlfn.XLOOKUP(EBF[[#This Row],[Base voltage]],Voltage[Voltage],Voltage[Voltage tier],"",0))),"")</f>
        <v>1</v>
      </c>
      <c r="V48">
        <f>IFERROR(EBF[[#This Row],[Coil overclock ]]*EBF[[#This Row],[Energy overclock]],"")</f>
        <v>1</v>
      </c>
      <c r="W48" s="8">
        <f>IFERROR(IF(ROUNDDOWN(EBF[[#This Row],[Total OC]]*EBF[[#This Row],[Base duration / s]],1)&lt;0.1,0.1,ROUNDDOWN(EBF[[#This Row],[Total OC]]*EBF[[#This Row],[Base duration / s]],1)),"")</f>
        <v>55</v>
      </c>
    </row>
    <row r="49" spans="2:23" x14ac:dyDescent="0.25">
      <c r="B49" s="20" t="s">
        <v>19</v>
      </c>
      <c r="C49" s="2">
        <v>1920</v>
      </c>
      <c r="D49" s="1" t="str">
        <f>_xlfn.XLOOKUP(EBF[[#This Row],[Base EU/T]],Voltage[Voltage / V],Voltage[Voltage],"",1)</f>
        <v>EV</v>
      </c>
      <c r="E49" s="2">
        <v>60</v>
      </c>
      <c r="F49" s="2">
        <v>4500</v>
      </c>
      <c r="G49" s="1" t="s">
        <v>46</v>
      </c>
      <c r="H49" s="1" t="str">
        <f>_xlfn.XLOOKUP(EBF[[#This Row],[Base Temperature / K]],Coils[Temperature / K],Coils[Coil],"",1)</f>
        <v>Tungstensteel</v>
      </c>
      <c r="I49" s="1" t="str">
        <f>_xlfn.XLOOKUP(EBF[[#This Row],[Base Temperature / K]]+(1800*1),Coils[Temperature / K],Coils[Coil],"",1)</f>
        <v>Naquadah</v>
      </c>
      <c r="J49" s="1" t="str">
        <f>_xlfn.XLOOKUP(EBF[[#This Row],[Base Temperature / K]]+(1800*2),Coils[Temperature / K],Coils[Coil],"",1)</f>
        <v>Trinium</v>
      </c>
      <c r="K49" s="1" t="str">
        <f>_xlfn.XLOOKUP(EBF[[#This Row],[Base Temperature / K]]+(1800*3),Coils[Temperature / K],Coils[Coil],"",1)</f>
        <v>Tritanium</v>
      </c>
      <c r="L49" s="1" t="str">
        <f>_xlfn.XLOOKUP(EBF[[#This Row],[Base Temperature / K]]+(1800*4),Coils[Temperature / K],Coils[Coil],"",1)</f>
        <v/>
      </c>
      <c r="M49" s="1" t="str">
        <f>_xlfn.XLOOKUP(EBF[[#This Row],[Base Temperature / K]]+(1800*5),Coils[Temperature / K],Coils[Coil],"",1)</f>
        <v/>
      </c>
      <c r="N49" s="1" t="s">
        <v>4</v>
      </c>
      <c r="O49" s="1" t="s">
        <v>64</v>
      </c>
      <c r="P49" s="2">
        <f>IFERROR(_xlfn.XLOOKUP(EBF[[#This Row],[Coils]],Coils[Coil],Coils[Temperature / K],"",1)+((_xlfn.XLOOKUP(EBF[[#This Row],[Energy hatch]],Voltage[Voltage],Voltage[Voltage tier],"",0)-1)*100),"")</f>
        <v>4700</v>
      </c>
      <c r="Q49" s="5">
        <f>IFERROR(0.95^ROUNDDOWN((EBF[[#This Row],[Heat capacity / K]]-EBF[[#This Row],[Base Temperature / K]])/900,0),"")</f>
        <v>1</v>
      </c>
      <c r="R49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1920</v>
      </c>
      <c r="S49" s="2">
        <f>EBF[[#This Row],[EU/t]]*4</f>
        <v>7680</v>
      </c>
      <c r="T49" s="4">
        <f>IFERROR(1/(2^ROUNDDOWN((EBF[[#This Row],[Heat capacity / K]]-EBF[[#This Row],[Base Temperature / K]])/1800,0)),"")</f>
        <v>1</v>
      </c>
      <c r="U49" s="4">
        <f>IFERROR(1/2^(_xlfn.XLOOKUP(EBF[[#This Row],[Energy hatch]],Voltage[Voltage],Voltage[Voltage tier],"",0)-(_xlfn.XLOOKUP(EBF[[#This Row],[Base voltage]],Voltage[Voltage],Voltage[Voltage tier],"",0))),"")</f>
        <v>1</v>
      </c>
      <c r="V49">
        <f>IFERROR(EBF[[#This Row],[Coil overclock ]]*EBF[[#This Row],[Energy overclock]],"")</f>
        <v>1</v>
      </c>
      <c r="W49" s="8">
        <f>IFERROR(IF(ROUNDDOWN(EBF[[#This Row],[Total OC]]*EBF[[#This Row],[Base duration / s]],1)&lt;0.1,0.1,ROUNDDOWN(EBF[[#This Row],[Total OC]]*EBF[[#This Row],[Base duration / s]],1)),"")</f>
        <v>60</v>
      </c>
    </row>
    <row r="50" spans="2:23" x14ac:dyDescent="0.25">
      <c r="B50" s="20" t="s">
        <v>175</v>
      </c>
      <c r="C50" s="2">
        <v>7680</v>
      </c>
      <c r="D50" s="1" t="str">
        <f>_xlfn.XLOOKUP(EBF[[#This Row],[Base EU/T]],Voltage[Voltage / V],Voltage[Voltage],"",1)</f>
        <v>IV</v>
      </c>
      <c r="E50" s="2">
        <v>60</v>
      </c>
      <c r="F50" s="2">
        <v>4500</v>
      </c>
      <c r="G50" s="1" t="s">
        <v>46</v>
      </c>
      <c r="H50" s="1" t="str">
        <f>_xlfn.XLOOKUP(EBF[[#This Row],[Base Temperature / K]],Coils[Temperature / K],Coils[Coil],"",1)</f>
        <v>Tungstensteel</v>
      </c>
      <c r="I50" s="1" t="str">
        <f>_xlfn.XLOOKUP(EBF[[#This Row],[Base Temperature / K]]+(1800*1),Coils[Temperature / K],Coils[Coil],"",1)</f>
        <v>Naquadah</v>
      </c>
      <c r="J50" s="1" t="str">
        <f>_xlfn.XLOOKUP(EBF[[#This Row],[Base Temperature / K]]+(1800*2),Coils[Temperature / K],Coils[Coil],"",1)</f>
        <v>Trinium</v>
      </c>
      <c r="K50" s="1" t="str">
        <f>_xlfn.XLOOKUP(EBF[[#This Row],[Base Temperature / K]]+(1800*3),Coils[Temperature / K],Coils[Coil],"",1)</f>
        <v>Tritanium</v>
      </c>
      <c r="L50" s="1" t="str">
        <f>_xlfn.XLOOKUP(EBF[[#This Row],[Base Temperature / K]]+(1800*4),Coils[Temperature / K],Coils[Coil],"",1)</f>
        <v/>
      </c>
      <c r="M50" s="1" t="str">
        <f>_xlfn.XLOOKUP(EBF[[#This Row],[Base Temperature / K]]+(1800*5),Coils[Temperature / K],Coils[Coil],"",1)</f>
        <v/>
      </c>
      <c r="N50" s="1" t="s">
        <v>5</v>
      </c>
      <c r="O50" s="1" t="s">
        <v>64</v>
      </c>
      <c r="P50" s="2">
        <f>IFERROR(_xlfn.XLOOKUP(EBF[[#This Row],[Coils]],Coils[Coil],Coils[Temperature / K],"",1)+((_xlfn.XLOOKUP(EBF[[#This Row],[Energy hatch]],Voltage[Voltage],Voltage[Voltage tier],"",0)-1)*100),"")</f>
        <v>4800</v>
      </c>
      <c r="Q50" s="5">
        <f>IFERROR(0.95^ROUNDDOWN((EBF[[#This Row],[Heat capacity / K]]-EBF[[#This Row],[Base Temperature / K]])/900,0),"")</f>
        <v>1</v>
      </c>
      <c r="R50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7680</v>
      </c>
      <c r="S50" s="2">
        <f>EBF[[#This Row],[EU/t]]*4</f>
        <v>30720</v>
      </c>
      <c r="T50" s="4">
        <f>IFERROR(1/(2^ROUNDDOWN((EBF[[#This Row],[Heat capacity / K]]-EBF[[#This Row],[Base Temperature / K]])/1800,0)),"")</f>
        <v>1</v>
      </c>
      <c r="U50" s="4">
        <f>IFERROR(1/2^(_xlfn.XLOOKUP(EBF[[#This Row],[Energy hatch]],Voltage[Voltage],Voltage[Voltage tier],"",0)-(_xlfn.XLOOKUP(EBF[[#This Row],[Base voltage]],Voltage[Voltage],Voltage[Voltage tier],"",0))),"")</f>
        <v>1</v>
      </c>
      <c r="V50">
        <f>IFERROR(EBF[[#This Row],[Coil overclock ]]*EBF[[#This Row],[Energy overclock]],"")</f>
        <v>1</v>
      </c>
      <c r="W50" s="8">
        <f>IFERROR(IF(ROUNDDOWN(EBF[[#This Row],[Total OC]]*EBF[[#This Row],[Base duration / s]],1)&lt;0.1,0.1,ROUNDDOWN(EBF[[#This Row],[Total OC]]*EBF[[#This Row],[Base duration / s]],1)),"")</f>
        <v>60</v>
      </c>
    </row>
    <row r="51" spans="2:23" x14ac:dyDescent="0.25">
      <c r="B51" s="20" t="s">
        <v>85</v>
      </c>
      <c r="C51" s="2">
        <v>480</v>
      </c>
      <c r="D51" s="1" t="str">
        <f>_xlfn.XLOOKUP(EBF[[#This Row],[Base EU/T]],Voltage[Voltage / V],Voltage[Voltage],"",1)</f>
        <v>HV</v>
      </c>
      <c r="E51" s="2">
        <v>75</v>
      </c>
      <c r="F51" s="2">
        <v>4500</v>
      </c>
      <c r="G51" s="1" t="s">
        <v>46</v>
      </c>
      <c r="H51" s="1" t="str">
        <f>_xlfn.XLOOKUP(EBF[[#This Row],[Base Temperature / K]],Coils[Temperature / K],Coils[Coil],"",1)</f>
        <v>Tungstensteel</v>
      </c>
      <c r="I51" s="1" t="str">
        <f>_xlfn.XLOOKUP(EBF[[#This Row],[Base Temperature / K]]+(1800*1),Coils[Temperature / K],Coils[Coil],"",1)</f>
        <v>Naquadah</v>
      </c>
      <c r="J51" s="1" t="str">
        <f>_xlfn.XLOOKUP(EBF[[#This Row],[Base Temperature / K]]+(1800*2),Coils[Temperature / K],Coils[Coil],"",1)</f>
        <v>Trinium</v>
      </c>
      <c r="K51" s="1" t="str">
        <f>_xlfn.XLOOKUP(EBF[[#This Row],[Base Temperature / K]]+(1800*3),Coils[Temperature / K],Coils[Coil],"",1)</f>
        <v>Tritanium</v>
      </c>
      <c r="L51" s="1" t="str">
        <f>_xlfn.XLOOKUP(EBF[[#This Row],[Base Temperature / K]]+(1800*4),Coils[Temperature / K],Coils[Coil],"",1)</f>
        <v/>
      </c>
      <c r="M51" s="1" t="str">
        <f>_xlfn.XLOOKUP(EBF[[#This Row],[Base Temperature / K]]+(1800*5),Coils[Temperature / K],Coils[Coil],"",1)</f>
        <v/>
      </c>
      <c r="N51" s="1" t="s">
        <v>3</v>
      </c>
      <c r="O51" s="1" t="s">
        <v>64</v>
      </c>
      <c r="P51" s="2">
        <f>IFERROR(_xlfn.XLOOKUP(EBF[[#This Row],[Coils]],Coils[Coil],Coils[Temperature / K],"",1)+((_xlfn.XLOOKUP(EBF[[#This Row],[Energy hatch]],Voltage[Voltage],Voltage[Voltage tier],"",0)-1)*100),"")</f>
        <v>4600</v>
      </c>
      <c r="Q51" s="5">
        <f>IFERROR(0.95^ROUNDDOWN((EBF[[#This Row],[Heat capacity / K]]-EBF[[#This Row],[Base Temperature / K]])/900,0),"")</f>
        <v>1</v>
      </c>
      <c r="R51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480</v>
      </c>
      <c r="S51" s="2">
        <f>EBF[[#This Row],[EU/t]]*4</f>
        <v>1920</v>
      </c>
      <c r="T51" s="4">
        <f>IFERROR(1/(2^ROUNDDOWN((EBF[[#This Row],[Heat capacity / K]]-EBF[[#This Row],[Base Temperature / K]])/1800,0)),"")</f>
        <v>1</v>
      </c>
      <c r="U51" s="4">
        <f>IFERROR(1/2^(_xlfn.XLOOKUP(EBF[[#This Row],[Energy hatch]],Voltage[Voltage],Voltage[Voltage tier],"",0)-(_xlfn.XLOOKUP(EBF[[#This Row],[Base voltage]],Voltage[Voltage],Voltage[Voltage tier],"",0))),"")</f>
        <v>1</v>
      </c>
      <c r="V51">
        <f>IFERROR(EBF[[#This Row],[Coil overclock ]]*EBF[[#This Row],[Energy overclock]],"")</f>
        <v>1</v>
      </c>
      <c r="W51" s="8">
        <f>IFERROR(IF(ROUNDDOWN(EBF[[#This Row],[Total OC]]*EBF[[#This Row],[Base duration / s]],1)&lt;0.1,0.1,ROUNDDOWN(EBF[[#This Row],[Total OC]]*EBF[[#This Row],[Base duration / s]],1)),"")</f>
        <v>75</v>
      </c>
    </row>
    <row r="52" spans="2:23" x14ac:dyDescent="0.25">
      <c r="B52" s="3" t="s">
        <v>92</v>
      </c>
      <c r="C52" s="2">
        <v>1920</v>
      </c>
      <c r="D52" s="1" t="str">
        <f>_xlfn.XLOOKUP(EBF[[#This Row],[Base EU/T]],Voltage[Voltage / V],Voltage[Voltage],"",1)</f>
        <v>EV</v>
      </c>
      <c r="E52" s="2">
        <v>80</v>
      </c>
      <c r="F52" s="2">
        <v>4500</v>
      </c>
      <c r="G52" s="1"/>
      <c r="H52" s="1" t="str">
        <f>_xlfn.XLOOKUP(EBF[[#This Row],[Base Temperature / K]],Coils[Temperature / K],Coils[Coil],"",1)</f>
        <v>Tungstensteel</v>
      </c>
      <c r="I52" s="1" t="str">
        <f>_xlfn.XLOOKUP(EBF[[#This Row],[Base Temperature / K]]+(1800*1),Coils[Temperature / K],Coils[Coil],"",1)</f>
        <v>Naquadah</v>
      </c>
      <c r="J52" s="1" t="str">
        <f>_xlfn.XLOOKUP(EBF[[#This Row],[Base Temperature / K]]+(1800*2),Coils[Temperature / K],Coils[Coil],"",1)</f>
        <v>Trinium</v>
      </c>
      <c r="K52" s="1" t="str">
        <f>_xlfn.XLOOKUP(EBF[[#This Row],[Base Temperature / K]]+(1800*3),Coils[Temperature / K],Coils[Coil],"",1)</f>
        <v>Tritanium</v>
      </c>
      <c r="L52" s="1" t="str">
        <f>_xlfn.XLOOKUP(EBF[[#This Row],[Base Temperature / K]]+(1800*4),Coils[Temperature / K],Coils[Coil],"",1)</f>
        <v/>
      </c>
      <c r="M52" s="1" t="str">
        <f>_xlfn.XLOOKUP(EBF[[#This Row],[Base Temperature / K]]+(1800*5),Coils[Temperature / K],Coils[Coil],"",1)</f>
        <v/>
      </c>
      <c r="N52" s="1" t="s">
        <v>4</v>
      </c>
      <c r="O52" s="1" t="s">
        <v>64</v>
      </c>
      <c r="P52" s="2">
        <f>IFERROR(_xlfn.XLOOKUP(EBF[[#This Row],[Coils]],Coils[Coil],Coils[Temperature / K],"",1)+((_xlfn.XLOOKUP(EBF[[#This Row],[Energy hatch]],Voltage[Voltage],Voltage[Voltage tier],"",0)-1)*100),"")</f>
        <v>4700</v>
      </c>
      <c r="Q52" s="5">
        <f>IFERROR(0.95^ROUNDDOWN((EBF[[#This Row],[Heat capacity / K]]-EBF[[#This Row],[Base Temperature / K]])/900,0),"")</f>
        <v>1</v>
      </c>
      <c r="R52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1920</v>
      </c>
      <c r="S52" s="2">
        <f>EBF[[#This Row],[EU/t]]*4</f>
        <v>7680</v>
      </c>
      <c r="T52" s="4">
        <f>IFERROR(1/(2^ROUNDDOWN((EBF[[#This Row],[Heat capacity / K]]-EBF[[#This Row],[Base Temperature / K]])/1800,0)),"")</f>
        <v>1</v>
      </c>
      <c r="U52" s="4">
        <f>IFERROR(1/2^(_xlfn.XLOOKUP(EBF[[#This Row],[Energy hatch]],Voltage[Voltage],Voltage[Voltage tier],"",0)-(_xlfn.XLOOKUP(EBF[[#This Row],[Base voltage]],Voltage[Voltage],Voltage[Voltage tier],"",0))),"")</f>
        <v>1</v>
      </c>
      <c r="V52">
        <f>IFERROR(EBF[[#This Row],[Coil overclock ]]*EBF[[#This Row],[Energy overclock]],"")</f>
        <v>1</v>
      </c>
      <c r="W52" s="8">
        <f>IFERROR(IF(ROUNDDOWN(EBF[[#This Row],[Total OC]]*EBF[[#This Row],[Base duration / s]],1)&lt;0.1,0.1,ROUNDDOWN(EBF[[#This Row],[Total OC]]*EBF[[#This Row],[Base duration / s]],1)),"")</f>
        <v>80</v>
      </c>
    </row>
    <row r="53" spans="2:23" x14ac:dyDescent="0.25">
      <c r="B53" s="3" t="s">
        <v>21</v>
      </c>
      <c r="C53" s="2">
        <v>120</v>
      </c>
      <c r="D53" s="1" t="str">
        <f>_xlfn.XLOOKUP(EBF[[#This Row],[Base EU/T]],Voltage[Voltage / V],Voltage[Voltage],"",1)</f>
        <v>MV</v>
      </c>
      <c r="E53" s="2">
        <v>229.5</v>
      </c>
      <c r="F53" s="2">
        <v>4500</v>
      </c>
      <c r="G53" s="1" t="s">
        <v>46</v>
      </c>
      <c r="H53" s="1" t="str">
        <f>_xlfn.XLOOKUP(EBF[[#This Row],[Base Temperature / K]],Coils[Temperature / K],Coils[Coil],"",1)</f>
        <v>Tungstensteel</v>
      </c>
      <c r="I53" s="1" t="str">
        <f>_xlfn.XLOOKUP(EBF[[#This Row],[Base Temperature / K]]+(1800*1),Coils[Temperature / K],Coils[Coil],"",1)</f>
        <v>Naquadah</v>
      </c>
      <c r="J53" s="1" t="str">
        <f>_xlfn.XLOOKUP(EBF[[#This Row],[Base Temperature / K]]+(1800*2),Coils[Temperature / K],Coils[Coil],"",1)</f>
        <v>Trinium</v>
      </c>
      <c r="K53" s="1" t="str">
        <f>_xlfn.XLOOKUP(EBF[[#This Row],[Base Temperature / K]]+(1800*3),Coils[Temperature / K],Coils[Coil],"",1)</f>
        <v>Tritanium</v>
      </c>
      <c r="L53" s="1" t="str">
        <f>_xlfn.XLOOKUP(EBF[[#This Row],[Base Temperature / K]]+(1800*4),Coils[Temperature / K],Coils[Coil],"",1)</f>
        <v/>
      </c>
      <c r="M53" s="1" t="str">
        <f>_xlfn.XLOOKUP(EBF[[#This Row],[Base Temperature / K]]+(1800*5),Coils[Temperature / K],Coils[Coil],"",1)</f>
        <v/>
      </c>
      <c r="N53" s="1" t="s">
        <v>3</v>
      </c>
      <c r="O53" s="1" t="s">
        <v>64</v>
      </c>
      <c r="P53" s="2">
        <f>IFERROR(_xlfn.XLOOKUP(EBF[[#This Row],[Coils]],Coils[Coil],Coils[Temperature / K],"",1)+((_xlfn.XLOOKUP(EBF[[#This Row],[Energy hatch]],Voltage[Voltage],Voltage[Voltage tier],"",0)-1)*100),"")</f>
        <v>4600</v>
      </c>
      <c r="Q53" s="5">
        <f>IFERROR(0.95^ROUNDDOWN((EBF[[#This Row],[Heat capacity / K]]-EBF[[#This Row],[Base Temperature / K]])/900,0),"")</f>
        <v>1</v>
      </c>
      <c r="R53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480</v>
      </c>
      <c r="S53" s="2">
        <f>EBF[[#This Row],[EU/t]]*4</f>
        <v>1920</v>
      </c>
      <c r="T53" s="4">
        <f>IFERROR(1/(2^ROUNDDOWN((EBF[[#This Row],[Heat capacity / K]]-EBF[[#This Row],[Base Temperature / K]])/1800,0)),"")</f>
        <v>1</v>
      </c>
      <c r="U53" s="4">
        <f>IFERROR(1/2^(_xlfn.XLOOKUP(EBF[[#This Row],[Energy hatch]],Voltage[Voltage],Voltage[Voltage tier],"",0)-(_xlfn.XLOOKUP(EBF[[#This Row],[Base voltage]],Voltage[Voltage],Voltage[Voltage tier],"",0))),"")</f>
        <v>0.5</v>
      </c>
      <c r="V53">
        <f>IFERROR(EBF[[#This Row],[Coil overclock ]]*EBF[[#This Row],[Energy overclock]],"")</f>
        <v>0.5</v>
      </c>
      <c r="W53" s="8">
        <f>IFERROR(IF(ROUNDDOWN(EBF[[#This Row],[Total OC]]*EBF[[#This Row],[Base duration / s]],1)&lt;0.1,0.1,ROUNDDOWN(EBF[[#This Row],[Total OC]]*EBF[[#This Row],[Base duration / s]],1)),"")</f>
        <v>114.7</v>
      </c>
    </row>
    <row r="54" spans="2:23" x14ac:dyDescent="0.25">
      <c r="B54" s="3" t="s">
        <v>100</v>
      </c>
      <c r="C54" s="2">
        <v>120</v>
      </c>
      <c r="D54" s="1" t="str">
        <f>_xlfn.XLOOKUP(EBF[[#This Row],[Base EU/T]],Voltage[Voltage / V],Voltage[Voltage],"",1)</f>
        <v>MV</v>
      </c>
      <c r="E54" s="2">
        <v>720</v>
      </c>
      <c r="F54" s="2">
        <v>4500</v>
      </c>
      <c r="G54" s="1" t="s">
        <v>36</v>
      </c>
      <c r="H54" s="1" t="str">
        <f>_xlfn.XLOOKUP(EBF[[#This Row],[Base Temperature / K]],Coils[Temperature / K],Coils[Coil],"",1)</f>
        <v>Tungstensteel</v>
      </c>
      <c r="I54" s="1" t="str">
        <f>_xlfn.XLOOKUP(EBF[[#This Row],[Base Temperature / K]]+(1800*1),Coils[Temperature / K],Coils[Coil],"",1)</f>
        <v>Naquadah</v>
      </c>
      <c r="J54" s="1" t="str">
        <f>_xlfn.XLOOKUP(EBF[[#This Row],[Base Temperature / K]]+(1800*2),Coils[Temperature / K],Coils[Coil],"",1)</f>
        <v>Trinium</v>
      </c>
      <c r="K54" s="1" t="str">
        <f>_xlfn.XLOOKUP(EBF[[#This Row],[Base Temperature / K]]+(1800*3),Coils[Temperature / K],Coils[Coil],"",1)</f>
        <v>Tritanium</v>
      </c>
      <c r="L54" s="1" t="str">
        <f>_xlfn.XLOOKUP(EBF[[#This Row],[Base Temperature / K]]+(1800*4),Coils[Temperature / K],Coils[Coil],"",1)</f>
        <v/>
      </c>
      <c r="M54" s="1" t="str">
        <f>_xlfn.XLOOKUP(EBF[[#This Row],[Base Temperature / K]]+(1800*5),Coils[Temperature / K],Coils[Coil],"",1)</f>
        <v/>
      </c>
      <c r="N54" s="1" t="s">
        <v>3</v>
      </c>
      <c r="O54" s="1" t="s">
        <v>64</v>
      </c>
      <c r="P54" s="2">
        <f>IFERROR(_xlfn.XLOOKUP(EBF[[#This Row],[Coils]],Coils[Coil],Coils[Temperature / K],"",1)+((_xlfn.XLOOKUP(EBF[[#This Row],[Energy hatch]],Voltage[Voltage],Voltage[Voltage tier],"",0)-1)*100),"")</f>
        <v>4600</v>
      </c>
      <c r="Q54" s="5">
        <f>IFERROR(0.95^ROUNDDOWN((EBF[[#This Row],[Heat capacity / K]]-EBF[[#This Row],[Base Temperature / K]])/900,0),"")</f>
        <v>1</v>
      </c>
      <c r="R54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480</v>
      </c>
      <c r="S54" s="2">
        <f>EBF[[#This Row],[EU/t]]*4</f>
        <v>1920</v>
      </c>
      <c r="T54" s="4">
        <f>IFERROR(1/(2^ROUNDDOWN((EBF[[#This Row],[Heat capacity / K]]-EBF[[#This Row],[Base Temperature / K]])/1800,0)),"")</f>
        <v>1</v>
      </c>
      <c r="U54" s="4">
        <f>IFERROR(1/2^(_xlfn.XLOOKUP(EBF[[#This Row],[Energy hatch]],Voltage[Voltage],Voltage[Voltage tier],"",0)-(_xlfn.XLOOKUP(EBF[[#This Row],[Base voltage]],Voltage[Voltage],Voltage[Voltage tier],"",0))),"")</f>
        <v>0.5</v>
      </c>
      <c r="V54">
        <f>IFERROR(EBF[[#This Row],[Coil overclock ]]*EBF[[#This Row],[Energy overclock]],"")</f>
        <v>0.5</v>
      </c>
      <c r="W54" s="8">
        <f>IFERROR(IF(ROUNDDOWN(EBF[[#This Row],[Total OC]]*EBF[[#This Row],[Base duration / s]],1)&lt;0.1,0.1,ROUNDDOWN(EBF[[#This Row],[Total OC]]*EBF[[#This Row],[Base duration / s]],1)),"")</f>
        <v>360</v>
      </c>
    </row>
    <row r="55" spans="2:23" x14ac:dyDescent="0.25">
      <c r="B55" s="3" t="s">
        <v>45</v>
      </c>
      <c r="C55" s="2">
        <v>7680</v>
      </c>
      <c r="D55" s="1" t="str">
        <f>_xlfn.XLOOKUP(EBF[[#This Row],[Base EU/T]],Voltage[Voltage / V],Voltage[Voltage],"",1)</f>
        <v>IV</v>
      </c>
      <c r="E55" s="2">
        <v>30</v>
      </c>
      <c r="F55" s="2">
        <v>5000</v>
      </c>
      <c r="G55" s="1" t="s">
        <v>46</v>
      </c>
      <c r="H55" s="1" t="str">
        <f>_xlfn.XLOOKUP(EBF[[#This Row],[Base Temperature / K]],Coils[Temperature / K],Coils[Coil],"",1)</f>
        <v>HSS-G</v>
      </c>
      <c r="I55" s="1" t="str">
        <f>_xlfn.XLOOKUP(EBF[[#This Row],[Base Temperature / K]]+(1800*1),Coils[Temperature / K],Coils[Coil],"",1)</f>
        <v>Naquadah</v>
      </c>
      <c r="J55" s="1" t="str">
        <f>_xlfn.XLOOKUP(EBF[[#This Row],[Base Temperature / K]]+(1800*2),Coils[Temperature / K],Coils[Coil],"",1)</f>
        <v>Trinium</v>
      </c>
      <c r="K55" s="1" t="str">
        <f>_xlfn.XLOOKUP(EBF[[#This Row],[Base Temperature / K]]+(1800*3),Coils[Temperature / K],Coils[Coil],"",1)</f>
        <v>Tritanium</v>
      </c>
      <c r="L55" s="1" t="str">
        <f>_xlfn.XLOOKUP(EBF[[#This Row],[Base Temperature / K]]+(1800*4),Coils[Temperature / K],Coils[Coil],"",1)</f>
        <v/>
      </c>
      <c r="M55" s="1" t="str">
        <f>_xlfn.XLOOKUP(EBF[[#This Row],[Base Temperature / K]]+(1800*5),Coils[Temperature / K],Coils[Coil],"",1)</f>
        <v/>
      </c>
      <c r="N55" s="1" t="s">
        <v>5</v>
      </c>
      <c r="O55" s="1" t="s">
        <v>79</v>
      </c>
      <c r="P55" s="2">
        <f>IFERROR(_xlfn.XLOOKUP(EBF[[#This Row],[Coils]],Coils[Coil],Coils[Temperature / K],"",1)+((_xlfn.XLOOKUP(EBF[[#This Row],[Energy hatch]],Voltage[Voltage],Voltage[Voltage tier],"",0)-1)*100),"")</f>
        <v>5700</v>
      </c>
      <c r="Q55" s="5">
        <f>IFERROR(0.95^ROUNDDOWN((EBF[[#This Row],[Heat capacity / K]]-EBF[[#This Row],[Base Temperature / K]])/900,0),"")</f>
        <v>1</v>
      </c>
      <c r="R55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7680</v>
      </c>
      <c r="S55" s="2">
        <f>EBF[[#This Row],[EU/t]]*4</f>
        <v>30720</v>
      </c>
      <c r="T55" s="4">
        <f>IFERROR(1/(2^ROUNDDOWN((EBF[[#This Row],[Heat capacity / K]]-EBF[[#This Row],[Base Temperature / K]])/1800,0)),"")</f>
        <v>1</v>
      </c>
      <c r="U55" s="4">
        <f>IFERROR(1/2^(_xlfn.XLOOKUP(EBF[[#This Row],[Energy hatch]],Voltage[Voltage],Voltage[Voltage tier],"",0)-(_xlfn.XLOOKUP(EBF[[#This Row],[Base voltage]],Voltage[Voltage],Voltage[Voltage tier],"",0))),"")</f>
        <v>1</v>
      </c>
      <c r="V55">
        <f>IFERROR(EBF[[#This Row],[Coil overclock ]]*EBF[[#This Row],[Energy overclock]],"")</f>
        <v>1</v>
      </c>
      <c r="W55" s="8">
        <f>IFERROR(IF(ROUNDDOWN(EBF[[#This Row],[Total OC]]*EBF[[#This Row],[Base duration / s]],1)&lt;0.1,0.1,ROUNDDOWN(EBF[[#This Row],[Total OC]]*EBF[[#This Row],[Base duration / s]],1)),"")</f>
        <v>30</v>
      </c>
    </row>
    <row r="56" spans="2:23" x14ac:dyDescent="0.25">
      <c r="B56" s="3" t="s">
        <v>80</v>
      </c>
      <c r="C56" s="2">
        <v>480</v>
      </c>
      <c r="D56" s="1" t="str">
        <f>_xlfn.XLOOKUP(EBF[[#This Row],[Base EU/T]],Voltage[Voltage / V],Voltage[Voltage],"",1)</f>
        <v>HV</v>
      </c>
      <c r="E56" s="2">
        <v>45</v>
      </c>
      <c r="F56" s="2">
        <v>5000</v>
      </c>
      <c r="G56" s="1"/>
      <c r="H56" s="1" t="str">
        <f>_xlfn.XLOOKUP(EBF[[#This Row],[Base Temperature / K]],Coils[Temperature / K],Coils[Coil],"",1)</f>
        <v>HSS-G</v>
      </c>
      <c r="I56" s="1" t="str">
        <f>_xlfn.XLOOKUP(EBF[[#This Row],[Base Temperature / K]]+(1800*1),Coils[Temperature / K],Coils[Coil],"",1)</f>
        <v>Naquadah</v>
      </c>
      <c r="J56" s="1" t="str">
        <f>_xlfn.XLOOKUP(EBF[[#This Row],[Base Temperature / K]]+(1800*2),Coils[Temperature / K],Coils[Coil],"",1)</f>
        <v>Trinium</v>
      </c>
      <c r="K56" s="1" t="str">
        <f>_xlfn.XLOOKUP(EBF[[#This Row],[Base Temperature / K]]+(1800*3),Coils[Temperature / K],Coils[Coil],"",1)</f>
        <v>Tritanium</v>
      </c>
      <c r="L56" s="1" t="str">
        <f>_xlfn.XLOOKUP(EBF[[#This Row],[Base Temperature / K]]+(1800*4),Coils[Temperature / K],Coils[Coil],"",1)</f>
        <v/>
      </c>
      <c r="M56" s="1" t="str">
        <f>_xlfn.XLOOKUP(EBF[[#This Row],[Base Temperature / K]]+(1800*5),Coils[Temperature / K],Coils[Coil],"",1)</f>
        <v/>
      </c>
      <c r="N56" s="1" t="s">
        <v>3</v>
      </c>
      <c r="O56" s="1" t="s">
        <v>79</v>
      </c>
      <c r="P56" s="2">
        <f>IFERROR(_xlfn.XLOOKUP(EBF[[#This Row],[Coils]],Coils[Coil],Coils[Temperature / K],"",1)+((_xlfn.XLOOKUP(EBF[[#This Row],[Energy hatch]],Voltage[Voltage],Voltage[Voltage tier],"",0)-1)*100),"")</f>
        <v>5500</v>
      </c>
      <c r="Q56" s="5">
        <f>IFERROR(0.95^ROUNDDOWN((EBF[[#This Row],[Heat capacity / K]]-EBF[[#This Row],[Base Temperature / K]])/900,0),"")</f>
        <v>1</v>
      </c>
      <c r="R56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480</v>
      </c>
      <c r="S56" s="2">
        <f>EBF[[#This Row],[EU/t]]*4</f>
        <v>1920</v>
      </c>
      <c r="T56" s="4">
        <f>IFERROR(1/(2^ROUNDDOWN((EBF[[#This Row],[Heat capacity / K]]-EBF[[#This Row],[Base Temperature / K]])/1800,0)),"")</f>
        <v>1</v>
      </c>
      <c r="U56" s="4">
        <f>IFERROR(1/2^(_xlfn.XLOOKUP(EBF[[#This Row],[Energy hatch]],Voltage[Voltage],Voltage[Voltage tier],"",0)-(_xlfn.XLOOKUP(EBF[[#This Row],[Base voltage]],Voltage[Voltage],Voltage[Voltage tier],"",0))),"")</f>
        <v>1</v>
      </c>
      <c r="V56">
        <f>IFERROR(EBF[[#This Row],[Coil overclock ]]*EBF[[#This Row],[Energy overclock]],"")</f>
        <v>1</v>
      </c>
      <c r="W56" s="8">
        <f>IFERROR(IF(ROUNDDOWN(EBF[[#This Row],[Total OC]]*EBF[[#This Row],[Base duration / s]],1)&lt;0.1,0.1,ROUNDDOWN(EBF[[#This Row],[Total OC]]*EBF[[#This Row],[Base duration / s]],1)),"")</f>
        <v>45</v>
      </c>
    </row>
    <row r="57" spans="2:23" x14ac:dyDescent="0.25">
      <c r="B57" s="3" t="s">
        <v>83</v>
      </c>
      <c r="C57" s="2">
        <v>1920</v>
      </c>
      <c r="D57" s="1" t="str">
        <f>_xlfn.XLOOKUP(EBF[[#This Row],[Base EU/T]],Voltage[Voltage / V],Voltage[Voltage],"",1)</f>
        <v>EV</v>
      </c>
      <c r="E57" s="2">
        <v>70</v>
      </c>
      <c r="F57" s="2">
        <v>5000</v>
      </c>
      <c r="G57" s="1"/>
      <c r="H57" s="1" t="str">
        <f>_xlfn.XLOOKUP(EBF[[#This Row],[Base Temperature / K]],Coils[Temperature / K],Coils[Coil],"",1)</f>
        <v>HSS-G</v>
      </c>
      <c r="I57" s="1" t="str">
        <f>_xlfn.XLOOKUP(EBF[[#This Row],[Base Temperature / K]]+(1800*1),Coils[Temperature / K],Coils[Coil],"",1)</f>
        <v>Naquadah</v>
      </c>
      <c r="J57" s="1" t="str">
        <f>_xlfn.XLOOKUP(EBF[[#This Row],[Base Temperature / K]]+(1800*2),Coils[Temperature / K],Coils[Coil],"",1)</f>
        <v>Trinium</v>
      </c>
      <c r="K57" s="1" t="str">
        <f>_xlfn.XLOOKUP(EBF[[#This Row],[Base Temperature / K]]+(1800*3),Coils[Temperature / K],Coils[Coil],"",1)</f>
        <v>Tritanium</v>
      </c>
      <c r="L57" s="1" t="str">
        <f>_xlfn.XLOOKUP(EBF[[#This Row],[Base Temperature / K]]+(1800*4),Coils[Temperature / K],Coils[Coil],"",1)</f>
        <v/>
      </c>
      <c r="M57" s="1" t="str">
        <f>_xlfn.XLOOKUP(EBF[[#This Row],[Base Temperature / K]]+(1800*5),Coils[Temperature / K],Coils[Coil],"",1)</f>
        <v/>
      </c>
      <c r="N57" s="1" t="s">
        <v>4</v>
      </c>
      <c r="O57" s="1" t="s">
        <v>79</v>
      </c>
      <c r="P57" s="2">
        <f>IFERROR(_xlfn.XLOOKUP(EBF[[#This Row],[Coils]],Coils[Coil],Coils[Temperature / K],"",1)+((_xlfn.XLOOKUP(EBF[[#This Row],[Energy hatch]],Voltage[Voltage],Voltage[Voltage tier],"",0)-1)*100),"")</f>
        <v>5600</v>
      </c>
      <c r="Q57" s="5">
        <f>IFERROR(0.95^ROUNDDOWN((EBF[[#This Row],[Heat capacity / K]]-EBF[[#This Row],[Base Temperature / K]])/900,0),"")</f>
        <v>1</v>
      </c>
      <c r="R57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1920</v>
      </c>
      <c r="S57" s="2">
        <f>EBF[[#This Row],[EU/t]]*4</f>
        <v>7680</v>
      </c>
      <c r="T57" s="4">
        <f>IFERROR(1/(2^ROUNDDOWN((EBF[[#This Row],[Heat capacity / K]]-EBF[[#This Row],[Base Temperature / K]])/1800,0)),"")</f>
        <v>1</v>
      </c>
      <c r="U57" s="4">
        <f>IFERROR(1/2^(_xlfn.XLOOKUP(EBF[[#This Row],[Energy hatch]],Voltage[Voltage],Voltage[Voltage tier],"",0)-(_xlfn.XLOOKUP(EBF[[#This Row],[Base voltage]],Voltage[Voltage],Voltage[Voltage tier],"",0))),"")</f>
        <v>1</v>
      </c>
      <c r="V57">
        <f>IFERROR(EBF[[#This Row],[Coil overclock ]]*EBF[[#This Row],[Energy overclock]],"")</f>
        <v>1</v>
      </c>
      <c r="W57" s="8">
        <f>IFERROR(IF(ROUNDDOWN(EBF[[#This Row],[Total OC]]*EBF[[#This Row],[Base duration / s]],1)&lt;0.1,0.1,ROUNDDOWN(EBF[[#This Row],[Total OC]]*EBF[[#This Row],[Base duration / s]],1)),"")</f>
        <v>70</v>
      </c>
    </row>
    <row r="58" spans="2:23" x14ac:dyDescent="0.25">
      <c r="B58" s="3" t="s">
        <v>90</v>
      </c>
      <c r="C58" s="2">
        <v>1920</v>
      </c>
      <c r="D58" s="1" t="str">
        <f>_xlfn.XLOOKUP(EBF[[#This Row],[Base EU/T]],Voltage[Voltage / V],Voltage[Voltage],"",1)</f>
        <v>EV</v>
      </c>
      <c r="E58" s="2">
        <v>75</v>
      </c>
      <c r="F58" s="2">
        <v>5000</v>
      </c>
      <c r="G58" s="1"/>
      <c r="H58" s="1" t="str">
        <f>_xlfn.XLOOKUP(EBF[[#This Row],[Base Temperature / K]],Coils[Temperature / K],Coils[Coil],"",1)</f>
        <v>HSS-G</v>
      </c>
      <c r="I58" s="1" t="str">
        <f>_xlfn.XLOOKUP(EBF[[#This Row],[Base Temperature / K]]+(1800*1),Coils[Temperature / K],Coils[Coil],"",1)</f>
        <v>Naquadah</v>
      </c>
      <c r="J58" s="1" t="str">
        <f>_xlfn.XLOOKUP(EBF[[#This Row],[Base Temperature / K]]+(1800*2),Coils[Temperature / K],Coils[Coil],"",1)</f>
        <v>Trinium</v>
      </c>
      <c r="K58" s="1" t="str">
        <f>_xlfn.XLOOKUP(EBF[[#This Row],[Base Temperature / K]]+(1800*3),Coils[Temperature / K],Coils[Coil],"",1)</f>
        <v>Tritanium</v>
      </c>
      <c r="L58" s="1" t="str">
        <f>_xlfn.XLOOKUP(EBF[[#This Row],[Base Temperature / K]]+(1800*4),Coils[Temperature / K],Coils[Coil],"",1)</f>
        <v/>
      </c>
      <c r="M58" s="1" t="str">
        <f>_xlfn.XLOOKUP(EBF[[#This Row],[Base Temperature / K]]+(1800*5),Coils[Temperature / K],Coils[Coil],"",1)</f>
        <v/>
      </c>
      <c r="N58" s="1" t="s">
        <v>4</v>
      </c>
      <c r="O58" s="1" t="s">
        <v>79</v>
      </c>
      <c r="P58" s="2">
        <f>IFERROR(_xlfn.XLOOKUP(EBF[[#This Row],[Coils]],Coils[Coil],Coils[Temperature / K],"",1)+((_xlfn.XLOOKUP(EBF[[#This Row],[Energy hatch]],Voltage[Voltage],Voltage[Voltage tier],"",0)-1)*100),"")</f>
        <v>5600</v>
      </c>
      <c r="Q58" s="5">
        <f>IFERROR(0.95^ROUNDDOWN((EBF[[#This Row],[Heat capacity / K]]-EBF[[#This Row],[Base Temperature / K]])/900,0),"")</f>
        <v>1</v>
      </c>
      <c r="R58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1920</v>
      </c>
      <c r="S58" s="2">
        <f>EBF[[#This Row],[EU/t]]*4</f>
        <v>7680</v>
      </c>
      <c r="T58" s="4">
        <f>IFERROR(1/(2^ROUNDDOWN((EBF[[#This Row],[Heat capacity / K]]-EBF[[#This Row],[Base Temperature / K]])/1800,0)),"")</f>
        <v>1</v>
      </c>
      <c r="U58" s="4">
        <f>IFERROR(1/2^(_xlfn.XLOOKUP(EBF[[#This Row],[Energy hatch]],Voltage[Voltage],Voltage[Voltage tier],"",0)-(_xlfn.XLOOKUP(EBF[[#This Row],[Base voltage]],Voltage[Voltage],Voltage[Voltage tier],"",0))),"")</f>
        <v>1</v>
      </c>
      <c r="V58">
        <f>IFERROR(EBF[[#This Row],[Coil overclock ]]*EBF[[#This Row],[Energy overclock]],"")</f>
        <v>1</v>
      </c>
      <c r="W58" s="8">
        <f>IFERROR(IF(ROUNDDOWN(EBF[[#This Row],[Total OC]]*EBF[[#This Row],[Base duration / s]],1)&lt;0.1,0.1,ROUNDDOWN(EBF[[#This Row],[Total OC]]*EBF[[#This Row],[Base duration / s]],1)),"")</f>
        <v>75</v>
      </c>
    </row>
    <row r="59" spans="2:23" x14ac:dyDescent="0.25">
      <c r="B59" s="3" t="s">
        <v>89</v>
      </c>
      <c r="C59" s="2">
        <v>1920</v>
      </c>
      <c r="D59" s="1" t="str">
        <f>_xlfn.XLOOKUP(EBF[[#This Row],[Base EU/T]],Voltage[Voltage / V],Voltage[Voltage],"",1)</f>
        <v>EV</v>
      </c>
      <c r="E59" s="2">
        <v>75</v>
      </c>
      <c r="F59" s="2">
        <v>5200</v>
      </c>
      <c r="G59" s="1"/>
      <c r="H59" s="1" t="str">
        <f>_xlfn.XLOOKUP(EBF[[#This Row],[Base Temperature / K]],Coils[Temperature / K],Coils[Coil],"",1)</f>
        <v>HSS-G</v>
      </c>
      <c r="I59" s="1" t="str">
        <f>_xlfn.XLOOKUP(EBF[[#This Row],[Base Temperature / K]]+(1800*1),Coils[Temperature / K],Coils[Coil],"",1)</f>
        <v>Naquadah</v>
      </c>
      <c r="J59" s="1" t="str">
        <f>_xlfn.XLOOKUP(EBF[[#This Row],[Base Temperature / K]]+(1800*2),Coils[Temperature / K],Coils[Coil],"",1)</f>
        <v>Trinium</v>
      </c>
      <c r="K59" s="1" t="str">
        <f>_xlfn.XLOOKUP(EBF[[#This Row],[Base Temperature / K]]+(1800*3),Coils[Temperature / K],Coils[Coil],"",1)</f>
        <v>Tritanium</v>
      </c>
      <c r="L59" s="1" t="str">
        <f>_xlfn.XLOOKUP(EBF[[#This Row],[Base Temperature / K]]+(1800*4),Coils[Temperature / K],Coils[Coil],"",1)</f>
        <v/>
      </c>
      <c r="M59" s="1" t="str">
        <f>_xlfn.XLOOKUP(EBF[[#This Row],[Base Temperature / K]]+(1800*5),Coils[Temperature / K],Coils[Coil],"",1)</f>
        <v/>
      </c>
      <c r="N59" s="1" t="s">
        <v>4</v>
      </c>
      <c r="O59" s="1" t="s">
        <v>79</v>
      </c>
      <c r="P59" s="2">
        <f>IFERROR(_xlfn.XLOOKUP(EBF[[#This Row],[Coils]],Coils[Coil],Coils[Temperature / K],"",1)+((_xlfn.XLOOKUP(EBF[[#This Row],[Energy hatch]],Voltage[Voltage],Voltage[Voltage tier],"",0)-1)*100),"")</f>
        <v>5600</v>
      </c>
      <c r="Q59" s="5">
        <f>IFERROR(0.95^ROUNDDOWN((EBF[[#This Row],[Heat capacity / K]]-EBF[[#This Row],[Base Temperature / K]])/900,0),"")</f>
        <v>1</v>
      </c>
      <c r="R59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1920</v>
      </c>
      <c r="S59" s="2">
        <f>EBF[[#This Row],[EU/t]]*4</f>
        <v>7680</v>
      </c>
      <c r="T59" s="4">
        <f>IFERROR(1/(2^ROUNDDOWN((EBF[[#This Row],[Heat capacity / K]]-EBF[[#This Row],[Base Temperature / K]])/1800,0)),"")</f>
        <v>1</v>
      </c>
      <c r="U59" s="4">
        <f>IFERROR(1/2^(_xlfn.XLOOKUP(EBF[[#This Row],[Energy hatch]],Voltage[Voltage],Voltage[Voltage tier],"",0)-(_xlfn.XLOOKUP(EBF[[#This Row],[Base voltage]],Voltage[Voltage],Voltage[Voltage tier],"",0))),"")</f>
        <v>1</v>
      </c>
      <c r="V59">
        <f>IFERROR(EBF[[#This Row],[Coil overclock ]]*EBF[[#This Row],[Energy overclock]],"")</f>
        <v>1</v>
      </c>
      <c r="W59" s="8">
        <f>IFERROR(IF(ROUNDDOWN(EBF[[#This Row],[Total OC]]*EBF[[#This Row],[Base duration / s]],1)&lt;0.1,0.1,ROUNDDOWN(EBF[[#This Row],[Total OC]]*EBF[[#This Row],[Base duration / s]],1)),"")</f>
        <v>75</v>
      </c>
    </row>
    <row r="60" spans="2:23" x14ac:dyDescent="0.25">
      <c r="B60" s="3" t="s">
        <v>88</v>
      </c>
      <c r="C60" s="2">
        <v>1920</v>
      </c>
      <c r="D60" s="1" t="str">
        <f>_xlfn.XLOOKUP(EBF[[#This Row],[Base EU/T]],Voltage[Voltage / V],Voltage[Voltage],"",1)</f>
        <v>EV</v>
      </c>
      <c r="E60" s="2">
        <v>75</v>
      </c>
      <c r="F60" s="2">
        <v>5400</v>
      </c>
      <c r="G60" s="1"/>
      <c r="H60" s="1" t="str">
        <f>_xlfn.XLOOKUP(EBF[[#This Row],[Base Temperature / K]],Coils[Temperature / K],Coils[Coil],"",1)</f>
        <v>HSS-G</v>
      </c>
      <c r="I60" s="1" t="str">
        <f>_xlfn.XLOOKUP(EBF[[#This Row],[Base Temperature / K]]+(1800*1),Coils[Temperature / K],Coils[Coil],"",1)</f>
        <v>Naquadah</v>
      </c>
      <c r="J60" s="1" t="str">
        <f>_xlfn.XLOOKUP(EBF[[#This Row],[Base Temperature / K]]+(1800*2),Coils[Temperature / K],Coils[Coil],"",1)</f>
        <v>Trinium</v>
      </c>
      <c r="K60" s="1" t="str">
        <f>_xlfn.XLOOKUP(EBF[[#This Row],[Base Temperature / K]]+(1800*3),Coils[Temperature / K],Coils[Coil],"",1)</f>
        <v>Tritanium</v>
      </c>
      <c r="L60" s="1" t="str">
        <f>_xlfn.XLOOKUP(EBF[[#This Row],[Base Temperature / K]]+(1800*4),Coils[Temperature / K],Coils[Coil],"",1)</f>
        <v/>
      </c>
      <c r="M60" s="1" t="str">
        <f>_xlfn.XLOOKUP(EBF[[#This Row],[Base Temperature / K]]+(1800*5),Coils[Temperature / K],Coils[Coil],"",1)</f>
        <v/>
      </c>
      <c r="N60" s="1" t="s">
        <v>4</v>
      </c>
      <c r="O60" s="1" t="s">
        <v>79</v>
      </c>
      <c r="P60" s="2">
        <f>IFERROR(_xlfn.XLOOKUP(EBF[[#This Row],[Coils]],Coils[Coil],Coils[Temperature / K],"",1)+((_xlfn.XLOOKUP(EBF[[#This Row],[Energy hatch]],Voltage[Voltage],Voltage[Voltage tier],"",0)-1)*100),"")</f>
        <v>5600</v>
      </c>
      <c r="Q60" s="5">
        <f>IFERROR(0.95^ROUNDDOWN((EBF[[#This Row],[Heat capacity / K]]-EBF[[#This Row],[Base Temperature / K]])/900,0),"")</f>
        <v>1</v>
      </c>
      <c r="R60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1920</v>
      </c>
      <c r="S60" s="2">
        <f>EBF[[#This Row],[EU/t]]*4</f>
        <v>7680</v>
      </c>
      <c r="T60" s="4">
        <f>IFERROR(1/(2^ROUNDDOWN((EBF[[#This Row],[Heat capacity / K]]-EBF[[#This Row],[Base Temperature / K]])/1800,0)),"")</f>
        <v>1</v>
      </c>
      <c r="U60" s="4">
        <f>IFERROR(1/2^(_xlfn.XLOOKUP(EBF[[#This Row],[Energy hatch]],Voltage[Voltage],Voltage[Voltage tier],"",0)-(_xlfn.XLOOKUP(EBF[[#This Row],[Base voltage]],Voltage[Voltage],Voltage[Voltage tier],"",0))),"")</f>
        <v>1</v>
      </c>
      <c r="V60">
        <f>IFERROR(EBF[[#This Row],[Coil overclock ]]*EBF[[#This Row],[Energy overclock]],"")</f>
        <v>1</v>
      </c>
      <c r="W60" s="8">
        <f>IFERROR(IF(ROUNDDOWN(EBF[[#This Row],[Total OC]]*EBF[[#This Row],[Base duration / s]],1)&lt;0.1,0.1,ROUNDDOWN(EBF[[#This Row],[Total OC]]*EBF[[#This Row],[Base duration / s]],1)),"")</f>
        <v>75</v>
      </c>
    </row>
    <row r="61" spans="2:23" x14ac:dyDescent="0.25">
      <c r="B61" t="s">
        <v>103</v>
      </c>
      <c r="C61" s="2">
        <v>1920</v>
      </c>
      <c r="D61" s="1" t="str">
        <f>_xlfn.XLOOKUP(EBF[[#This Row],[Base EU/T]],Voltage[Voltage / V],Voltage[Voltage],"",1)</f>
        <v>EV</v>
      </c>
      <c r="E61" s="2">
        <v>750</v>
      </c>
      <c r="F61" s="2">
        <v>5400</v>
      </c>
      <c r="G61" s="1"/>
      <c r="H61" s="1" t="str">
        <f>_xlfn.XLOOKUP(EBF[[#This Row],[Base Temperature / K]],Coils[Temperature / K],Coils[Coil],"",1)</f>
        <v>HSS-G</v>
      </c>
      <c r="I61" s="1" t="str">
        <f>_xlfn.XLOOKUP(EBF[[#This Row],[Base Temperature / K]]+(1800*1),Coils[Temperature / K],Coils[Coil],"",1)</f>
        <v>Naquadah</v>
      </c>
      <c r="J61" s="1" t="str">
        <f>_xlfn.XLOOKUP(EBF[[#This Row],[Base Temperature / K]]+(1800*2),Coils[Temperature / K],Coils[Coil],"",1)</f>
        <v>Trinium</v>
      </c>
      <c r="K61" s="1" t="str">
        <f>_xlfn.XLOOKUP(EBF[[#This Row],[Base Temperature / K]]+(1800*3),Coils[Temperature / K],Coils[Coil],"",1)</f>
        <v>Tritanium</v>
      </c>
      <c r="L61" s="1" t="str">
        <f>_xlfn.XLOOKUP(EBF[[#This Row],[Base Temperature / K]]+(1800*4),Coils[Temperature / K],Coils[Coil],"",1)</f>
        <v/>
      </c>
      <c r="M61" s="1" t="str">
        <f>_xlfn.XLOOKUP(EBF[[#This Row],[Base Temperature / K]]+(1800*5),Coils[Temperature / K],Coils[Coil],"",1)</f>
        <v/>
      </c>
      <c r="N61" s="1" t="s">
        <v>4</v>
      </c>
      <c r="O61" s="1" t="s">
        <v>79</v>
      </c>
      <c r="P61" s="2">
        <f>IFERROR(_xlfn.XLOOKUP(EBF[[#This Row],[Coils]],Coils[Coil],Coils[Temperature / K],"",1)+((_xlfn.XLOOKUP(EBF[[#This Row],[Energy hatch]],Voltage[Voltage],Voltage[Voltage tier],"",0)-1)*100),"")</f>
        <v>5600</v>
      </c>
      <c r="Q61" s="5">
        <f>IFERROR(0.95^ROUNDDOWN((EBF[[#This Row],[Heat capacity / K]]-EBF[[#This Row],[Base Temperature / K]])/900,0),"")</f>
        <v>1</v>
      </c>
      <c r="R61" s="2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>1920</v>
      </c>
      <c r="S61" s="2">
        <f>EBF[[#This Row],[EU/t]]*4</f>
        <v>7680</v>
      </c>
      <c r="T61" s="4">
        <f>IFERROR(1/(2^ROUNDDOWN((EBF[[#This Row],[Heat capacity / K]]-EBF[[#This Row],[Base Temperature / K]])/1800,0)),"")</f>
        <v>1</v>
      </c>
      <c r="U61" s="4">
        <f>IFERROR(1/2^(_xlfn.XLOOKUP(EBF[[#This Row],[Energy hatch]],Voltage[Voltage],Voltage[Voltage tier],"",0)-(_xlfn.XLOOKUP(EBF[[#This Row],[Base voltage]],Voltage[Voltage],Voltage[Voltage tier],"",0))),"")</f>
        <v>1</v>
      </c>
      <c r="V61">
        <f>IFERROR(EBF[[#This Row],[Coil overclock ]]*EBF[[#This Row],[Energy overclock]],"")</f>
        <v>1</v>
      </c>
      <c r="W61" s="8">
        <f>IFERROR(IF(ROUNDDOWN(EBF[[#This Row],[Total OC]]*EBF[[#This Row],[Base duration / s]],1)&lt;0.1,0.1,ROUNDDOWN(EBF[[#This Row],[Total OC]]*EBF[[#This Row],[Base duration / s]],1)),"")</f>
        <v>750</v>
      </c>
    </row>
    <row r="62" spans="2:23" x14ac:dyDescent="0.25">
      <c r="B62" t="s">
        <v>35</v>
      </c>
      <c r="C62" s="2">
        <v>7680</v>
      </c>
      <c r="D62" s="1" t="str">
        <f>_xlfn.XLOOKUP(EBF[[#This Row],[Base EU/T]],Voltage[Voltage / V],Voltage[Voltage],"",1)</f>
        <v>IV</v>
      </c>
      <c r="E62" s="2">
        <v>9</v>
      </c>
      <c r="F62" s="2">
        <v>6000</v>
      </c>
      <c r="G62" s="1" t="s">
        <v>36</v>
      </c>
      <c r="H62" s="1" t="str">
        <f>_xlfn.XLOOKUP(EBF[[#This Row],[Base Temperature / K]],Coils[Temperature / K],Coils[Coil],"",1)</f>
        <v>Naquadah</v>
      </c>
      <c r="I62" s="1" t="str">
        <f>_xlfn.XLOOKUP(EBF[[#This Row],[Base Temperature / K]]+(1800*1),Coils[Temperature / K],Coils[Coil],"",1)</f>
        <v>Trinium</v>
      </c>
      <c r="J62" s="1" t="str">
        <f>_xlfn.XLOOKUP(EBF[[#This Row],[Base Temperature / K]]+(1800*2),Coils[Temperature / K],Coils[Coil],"",1)</f>
        <v>Tritanium</v>
      </c>
      <c r="K62" s="1" t="str">
        <f>_xlfn.XLOOKUP(EBF[[#This Row],[Base Temperature / K]]+(1800*3),Coils[Temperature / K],Coils[Coil],"",1)</f>
        <v/>
      </c>
      <c r="L62" s="1" t="str">
        <f>_xlfn.XLOOKUP(EBF[[#This Row],[Base Temperature / K]]+(1800*4),Coils[Temperature / K],Coils[Coil],"",1)</f>
        <v/>
      </c>
      <c r="M62" s="1" t="str">
        <f>_xlfn.XLOOKUP(EBF[[#This Row],[Base Temperature / K]]+(1800*5),Coils[Temperature / K],Coils[Coil],"",1)</f>
        <v/>
      </c>
      <c r="N62" s="1" t="s">
        <v>5</v>
      </c>
      <c r="O62" s="1"/>
      <c r="P62" s="2" t="str">
        <f>IFERROR(_xlfn.XLOOKUP(EBF[[#This Row],[Coils]],Coils[Coil],Coils[Temperature / K],"",1)+((_xlfn.XLOOKUP(EBF[[#This Row],[Energy hatch]],Voltage[Voltage],Voltage[Voltage tier],"",0)-1)*100),"")</f>
        <v/>
      </c>
      <c r="Q62" s="1" t="str">
        <f>IFERROR(0.95^ROUNDDOWN((EBF[[#This Row],[Heat capacity / K]]-EBF[[#This Row],[Base Temperature / K]])/900,0),"")</f>
        <v/>
      </c>
      <c r="R62" s="2" t="str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/>
      </c>
      <c r="S62" s="2" t="e">
        <f>EBF[[#This Row],[EU/t]]*4</f>
        <v>#VALUE!</v>
      </c>
      <c r="T62" s="6" t="str">
        <f>IFERROR(1/(2^ROUNDDOWN((EBF[[#This Row],[Heat capacity / K]]-EBF[[#This Row],[Base Temperature / K]])/1800,0)),"")</f>
        <v/>
      </c>
      <c r="U62" s="7">
        <f>IFERROR(1/2^(_xlfn.XLOOKUP(EBF[[#This Row],[Energy hatch]],Voltage[Voltage],Voltage[Voltage tier],"",0)-(_xlfn.XLOOKUP(EBF[[#This Row],[Base voltage]],Voltage[Voltage],Voltage[Voltage tier],"",0))),"")</f>
        <v>1</v>
      </c>
      <c r="V62" t="str">
        <f>IFERROR(EBF[[#This Row],[Coil overclock ]]*EBF[[#This Row],[Energy overclock]],"")</f>
        <v/>
      </c>
      <c r="W62" t="str">
        <f>IFERROR(IF(ROUNDDOWN(EBF[[#This Row],[Total OC]]*EBF[[#This Row],[Base duration / s]],1)&lt;0.1,0.1,ROUNDDOWN(EBF[[#This Row],[Total OC]]*EBF[[#This Row],[Base duration / s]],1)),"")</f>
        <v/>
      </c>
    </row>
    <row r="63" spans="2:23" x14ac:dyDescent="0.25">
      <c r="B63" t="s">
        <v>65</v>
      </c>
      <c r="C63" s="2">
        <v>7680</v>
      </c>
      <c r="D63" s="1" t="str">
        <f>_xlfn.XLOOKUP(EBF[[#This Row],[Base EU/T]],Voltage[Voltage / V],Voltage[Voltage],"",1)</f>
        <v>IV</v>
      </c>
      <c r="E63" s="2">
        <v>50</v>
      </c>
      <c r="F63" s="2">
        <v>6000</v>
      </c>
      <c r="G63" s="1" t="s">
        <v>46</v>
      </c>
      <c r="H63" s="1" t="str">
        <f>_xlfn.XLOOKUP(EBF[[#This Row],[Base Temperature / K]],Coils[Temperature / K],Coils[Coil],"",1)</f>
        <v>Naquadah</v>
      </c>
      <c r="I63" s="1" t="str">
        <f>_xlfn.XLOOKUP(EBF[[#This Row],[Base Temperature / K]]+(1800*1),Coils[Temperature / K],Coils[Coil],"",1)</f>
        <v>Trinium</v>
      </c>
      <c r="J63" s="1" t="str">
        <f>_xlfn.XLOOKUP(EBF[[#This Row],[Base Temperature / K]]+(1800*2),Coils[Temperature / K],Coils[Coil],"",1)</f>
        <v>Tritanium</v>
      </c>
      <c r="K63" s="1" t="str">
        <f>_xlfn.XLOOKUP(EBF[[#This Row],[Base Temperature / K]]+(1800*3),Coils[Temperature / K],Coils[Coil],"",1)</f>
        <v/>
      </c>
      <c r="L63" s="1" t="str">
        <f>_xlfn.XLOOKUP(EBF[[#This Row],[Base Temperature / K]]+(1800*4),Coils[Temperature / K],Coils[Coil],"",1)</f>
        <v/>
      </c>
      <c r="M63" s="1" t="str">
        <f>_xlfn.XLOOKUP(EBF[[#This Row],[Base Temperature / K]]+(1800*5),Coils[Temperature / K],Coils[Coil],"",1)</f>
        <v/>
      </c>
      <c r="N63" s="1" t="s">
        <v>5</v>
      </c>
      <c r="O63" s="1"/>
      <c r="P63" s="2" t="str">
        <f>IFERROR(_xlfn.XLOOKUP(EBF[[#This Row],[Coils]],Coils[Coil],Coils[Temperature / K],"",1)+((_xlfn.XLOOKUP(EBF[[#This Row],[Energy hatch]],Voltage[Voltage],Voltage[Voltage tier],"",0)-1)*100),"")</f>
        <v/>
      </c>
      <c r="Q63" s="1" t="str">
        <f>IFERROR(0.95^ROUNDDOWN((EBF[[#This Row],[Heat capacity / K]]-EBF[[#This Row],[Base Temperature / K]])/900,0),"")</f>
        <v/>
      </c>
      <c r="R63" s="2" t="str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/>
      </c>
      <c r="S63" s="2" t="e">
        <f>EBF[[#This Row],[EU/t]]*4</f>
        <v>#VALUE!</v>
      </c>
      <c r="T63" s="6" t="str">
        <f>IFERROR(1/(2^ROUNDDOWN((EBF[[#This Row],[Heat capacity / K]]-EBF[[#This Row],[Base Temperature / K]])/1800,0)),"")</f>
        <v/>
      </c>
      <c r="U63" s="7">
        <f>IFERROR(1/2^(_xlfn.XLOOKUP(EBF[[#This Row],[Energy hatch]],Voltage[Voltage],Voltage[Voltage tier],"",0)-(_xlfn.XLOOKUP(EBF[[#This Row],[Base voltage]],Voltage[Voltage],Voltage[Voltage tier],"",0))),"")</f>
        <v>1</v>
      </c>
      <c r="V63" t="str">
        <f>IFERROR(EBF[[#This Row],[Coil overclock ]]*EBF[[#This Row],[Energy overclock]],"")</f>
        <v/>
      </c>
      <c r="W63" t="str">
        <f>IFERROR(IF(ROUNDDOWN(EBF[[#This Row],[Total OC]]*EBF[[#This Row],[Base duration / s]],1)&lt;0.1,0.1,ROUNDDOWN(EBF[[#This Row],[Total OC]]*EBF[[#This Row],[Base duration / s]],1)),"")</f>
        <v/>
      </c>
    </row>
    <row r="64" spans="2:23" x14ac:dyDescent="0.25">
      <c r="B64" t="s">
        <v>31</v>
      </c>
      <c r="C64" s="2">
        <v>120</v>
      </c>
      <c r="D64" s="1" t="str">
        <f>_xlfn.XLOOKUP(EBF[[#This Row],[Base EU/T]],Voltage[Voltage / V],Voltage[Voltage],"",1)</f>
        <v>MV</v>
      </c>
      <c r="E64" s="2">
        <v>1040</v>
      </c>
      <c r="F64" s="2">
        <v>6400</v>
      </c>
      <c r="G64" s="1" t="s">
        <v>102</v>
      </c>
      <c r="H64" s="1" t="str">
        <f>_xlfn.XLOOKUP(EBF[[#This Row],[Base Temperature / K]],Coils[Temperature / K],Coils[Coil],"",1)</f>
        <v>Naquadah</v>
      </c>
      <c r="I64" s="1" t="str">
        <f>_xlfn.XLOOKUP(EBF[[#This Row],[Base Temperature / K]]+(1800*1),Coils[Temperature / K],Coils[Coil],"",1)</f>
        <v>Trinium</v>
      </c>
      <c r="J64" s="1" t="str">
        <f>_xlfn.XLOOKUP(EBF[[#This Row],[Base Temperature / K]]+(1800*2),Coils[Temperature / K],Coils[Coil],"",1)</f>
        <v>Tritanium</v>
      </c>
      <c r="K64" s="1" t="str">
        <f>_xlfn.XLOOKUP(EBF[[#This Row],[Base Temperature / K]]+(1800*3),Coils[Temperature / K],Coils[Coil],"",1)</f>
        <v/>
      </c>
      <c r="L64" s="1" t="str">
        <f>_xlfn.XLOOKUP(EBF[[#This Row],[Base Temperature / K]]+(1800*4),Coils[Temperature / K],Coils[Coil],"",1)</f>
        <v/>
      </c>
      <c r="M64" s="1" t="str">
        <f>_xlfn.XLOOKUP(EBF[[#This Row],[Base Temperature / K]]+(1800*5),Coils[Temperature / K],Coils[Coil],"",1)</f>
        <v/>
      </c>
      <c r="N64" s="1" t="s">
        <v>3</v>
      </c>
      <c r="O64" s="1"/>
      <c r="P64" s="2" t="str">
        <f>IFERROR(_xlfn.XLOOKUP(EBF[[#This Row],[Coils]],Coils[Coil],Coils[Temperature / K],"",1)+((_xlfn.XLOOKUP(EBF[[#This Row],[Energy hatch]],Voltage[Voltage],Voltage[Voltage tier],"",0)-1)*100),"")</f>
        <v/>
      </c>
      <c r="Q64" s="1" t="str">
        <f>IFERROR(0.95^ROUNDDOWN((EBF[[#This Row],[Heat capacity / K]]-EBF[[#This Row],[Base Temperature / K]])/900,0),"")</f>
        <v/>
      </c>
      <c r="R64" s="2" t="str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/>
      </c>
      <c r="S64" s="2" t="e">
        <f>EBF[[#This Row],[EU/t]]*4</f>
        <v>#VALUE!</v>
      </c>
      <c r="T64" s="6" t="str">
        <f>IFERROR(1/(2^ROUNDDOWN((EBF[[#This Row],[Heat capacity / K]]-EBF[[#This Row],[Base Temperature / K]])/1800,0)),"")</f>
        <v/>
      </c>
      <c r="U64" s="7">
        <f>IFERROR(1/2^(_xlfn.XLOOKUP(EBF[[#This Row],[Energy hatch]],Voltage[Voltage],Voltage[Voltage tier],"",0)-(_xlfn.XLOOKUP(EBF[[#This Row],[Base voltage]],Voltage[Voltage],Voltage[Voltage tier],"",0))),"")</f>
        <v>0.5</v>
      </c>
      <c r="V64" t="str">
        <f>IFERROR(EBF[[#This Row],[Coil overclock ]]*EBF[[#This Row],[Energy overclock]],"")</f>
        <v/>
      </c>
      <c r="W64" t="str">
        <f>IFERROR(IF(ROUNDDOWN(EBF[[#This Row],[Total OC]]*EBF[[#This Row],[Base duration / s]],1)&lt;0.1,0.1,ROUNDDOWN(EBF[[#This Row],[Total OC]]*EBF[[#This Row],[Base duration / s]],1)),"")</f>
        <v/>
      </c>
    </row>
    <row r="65" spans="2:23" x14ac:dyDescent="0.25">
      <c r="B65" t="s">
        <v>104</v>
      </c>
      <c r="C65" s="2">
        <v>7680</v>
      </c>
      <c r="D65" s="1" t="str">
        <f>_xlfn.XLOOKUP(EBF[[#This Row],[Base EU/T]],Voltage[Voltage / V],Voltage[Voltage],"",1)</f>
        <v>IV</v>
      </c>
      <c r="E65" s="2">
        <v>900</v>
      </c>
      <c r="F65" s="2">
        <v>6484</v>
      </c>
      <c r="G65" s="1"/>
      <c r="H65" s="1" t="str">
        <f>_xlfn.XLOOKUP(EBF[[#This Row],[Base Temperature / K]],Coils[Temperature / K],Coils[Coil],"",1)</f>
        <v>Naquadah</v>
      </c>
      <c r="I65" s="1" t="str">
        <f>_xlfn.XLOOKUP(EBF[[#This Row],[Base Temperature / K]]+(1800*1),Coils[Temperature / K],Coils[Coil],"",1)</f>
        <v>Trinium</v>
      </c>
      <c r="J65" s="1" t="str">
        <f>_xlfn.XLOOKUP(EBF[[#This Row],[Base Temperature / K]]+(1800*2),Coils[Temperature / K],Coils[Coil],"",1)</f>
        <v>Tritanium</v>
      </c>
      <c r="K65" s="1" t="str">
        <f>_xlfn.XLOOKUP(EBF[[#This Row],[Base Temperature / K]]+(1800*3),Coils[Temperature / K],Coils[Coil],"",1)</f>
        <v/>
      </c>
      <c r="L65" s="1" t="str">
        <f>_xlfn.XLOOKUP(EBF[[#This Row],[Base Temperature / K]]+(1800*4),Coils[Temperature / K],Coils[Coil],"",1)</f>
        <v/>
      </c>
      <c r="M65" s="1" t="str">
        <f>_xlfn.XLOOKUP(EBF[[#This Row],[Base Temperature / K]]+(1800*5),Coils[Temperature / K],Coils[Coil],"",1)</f>
        <v/>
      </c>
      <c r="N65" s="1" t="s">
        <v>5</v>
      </c>
      <c r="O65" s="1"/>
      <c r="P65" s="2" t="str">
        <f>IFERROR(_xlfn.XLOOKUP(EBF[[#This Row],[Coils]],Coils[Coil],Coils[Temperature / K],"",1)+((_xlfn.XLOOKUP(EBF[[#This Row],[Energy hatch]],Voltage[Voltage],Voltage[Voltage tier],"",0)-1)*100),"")</f>
        <v/>
      </c>
      <c r="Q65" s="1" t="str">
        <f>IFERROR(0.95^ROUNDDOWN((EBF[[#This Row],[Heat capacity / K]]-EBF[[#This Row],[Base Temperature / K]])/900,0),"")</f>
        <v/>
      </c>
      <c r="R65" s="2" t="str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/>
      </c>
      <c r="S65" s="2" t="e">
        <f>EBF[[#This Row],[EU/t]]*4</f>
        <v>#VALUE!</v>
      </c>
      <c r="T65" s="6" t="str">
        <f>IFERROR(1/(2^ROUNDDOWN((EBF[[#This Row],[Heat capacity / K]]-EBF[[#This Row],[Base Temperature / K]])/1800,0)),"")</f>
        <v/>
      </c>
      <c r="U65" s="7">
        <f>IFERROR(1/2^(_xlfn.XLOOKUP(EBF[[#This Row],[Energy hatch]],Voltage[Voltage],Voltage[Voltage tier],"",0)-(_xlfn.XLOOKUP(EBF[[#This Row],[Base voltage]],Voltage[Voltage],Voltage[Voltage tier],"",0))),"")</f>
        <v>1</v>
      </c>
      <c r="V65" t="str">
        <f>IFERROR(EBF[[#This Row],[Coil overclock ]]*EBF[[#This Row],[Energy overclock]],"")</f>
        <v/>
      </c>
      <c r="W65" t="str">
        <f>IFERROR(IF(ROUNDDOWN(EBF[[#This Row],[Total OC]]*EBF[[#This Row],[Base duration / s]],1)&lt;0.1,0.1,ROUNDDOWN(EBF[[#This Row],[Total OC]]*EBF[[#This Row],[Base duration / s]],1)),"")</f>
        <v/>
      </c>
    </row>
    <row r="66" spans="2:23" x14ac:dyDescent="0.25">
      <c r="B66" t="s">
        <v>101</v>
      </c>
      <c r="C66" s="2">
        <v>120</v>
      </c>
      <c r="D66" s="1" t="str">
        <f>_xlfn.XLOOKUP(EBF[[#This Row],[Base EU/T]],Voltage[Voltage / V],Voltage[Voltage],"",1)</f>
        <v>MV</v>
      </c>
      <c r="E66" s="2">
        <v>1000</v>
      </c>
      <c r="F66" s="2">
        <v>6800</v>
      </c>
      <c r="G66" s="1"/>
      <c r="H66" s="1" t="str">
        <f>_xlfn.XLOOKUP(EBF[[#This Row],[Base Temperature / K]],Coils[Temperature / K],Coils[Coil],"",1)</f>
        <v>Naquadah</v>
      </c>
      <c r="I66" s="1" t="str">
        <f>_xlfn.XLOOKUP(EBF[[#This Row],[Base Temperature / K]]+(1800*1),Coils[Temperature / K],Coils[Coil],"",1)</f>
        <v>Trinium</v>
      </c>
      <c r="J66" s="1" t="str">
        <f>_xlfn.XLOOKUP(EBF[[#This Row],[Base Temperature / K]]+(1800*2),Coils[Temperature / K],Coils[Coil],"",1)</f>
        <v>Tritanium</v>
      </c>
      <c r="K66" s="1" t="str">
        <f>_xlfn.XLOOKUP(EBF[[#This Row],[Base Temperature / K]]+(1800*3),Coils[Temperature / K],Coils[Coil],"",1)</f>
        <v/>
      </c>
      <c r="L66" s="1" t="str">
        <f>_xlfn.XLOOKUP(EBF[[#This Row],[Base Temperature / K]]+(1800*4),Coils[Temperature / K],Coils[Coil],"",1)</f>
        <v/>
      </c>
      <c r="M66" s="1" t="str">
        <f>_xlfn.XLOOKUP(EBF[[#This Row],[Base Temperature / K]]+(1800*5),Coils[Temperature / K],Coils[Coil],"",1)</f>
        <v/>
      </c>
      <c r="N66" s="1" t="s">
        <v>3</v>
      </c>
      <c r="O66" s="1"/>
      <c r="P66" s="2" t="str">
        <f>IFERROR(_xlfn.XLOOKUP(EBF[[#This Row],[Coils]],Coils[Coil],Coils[Temperature / K],"",1)+((_xlfn.XLOOKUP(EBF[[#This Row],[Energy hatch]],Voltage[Voltage],Voltage[Voltage tier],"",0)-1)*100),"")</f>
        <v/>
      </c>
      <c r="Q66" s="1" t="str">
        <f>IFERROR(0.95^ROUNDDOWN((EBF[[#This Row],[Heat capacity / K]]-EBF[[#This Row],[Base Temperature / K]])/900,0),"")</f>
        <v/>
      </c>
      <c r="R66" s="2" t="str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/>
      </c>
      <c r="S66" s="2" t="e">
        <f>EBF[[#This Row],[EU/t]]*4</f>
        <v>#VALUE!</v>
      </c>
      <c r="T66" s="6" t="str">
        <f>IFERROR(1/(2^ROUNDDOWN((EBF[[#This Row],[Heat capacity / K]]-EBF[[#This Row],[Base Temperature / K]])/1800,0)),"")</f>
        <v/>
      </c>
      <c r="U66" s="7">
        <f>IFERROR(1/2^(_xlfn.XLOOKUP(EBF[[#This Row],[Energy hatch]],Voltage[Voltage],Voltage[Voltage tier],"",0)-(_xlfn.XLOOKUP(EBF[[#This Row],[Base voltage]],Voltage[Voltage],Voltage[Voltage tier],"",0))),"")</f>
        <v>0.5</v>
      </c>
      <c r="V66" t="str">
        <f>IFERROR(EBF[[#This Row],[Coil overclock ]]*EBF[[#This Row],[Energy overclock]],"")</f>
        <v/>
      </c>
      <c r="W66" t="str">
        <f>IFERROR(IF(ROUNDDOWN(EBF[[#This Row],[Total OC]]*EBF[[#This Row],[Base duration / s]],1)&lt;0.1,0.1,ROUNDDOWN(EBF[[#This Row],[Total OC]]*EBF[[#This Row],[Base duration / s]],1)),"")</f>
        <v/>
      </c>
    </row>
    <row r="67" spans="2:23" x14ac:dyDescent="0.25">
      <c r="B67" t="s">
        <v>47</v>
      </c>
      <c r="C67" s="2">
        <v>7680</v>
      </c>
      <c r="D67" s="1" t="str">
        <f>_xlfn.XLOOKUP(EBF[[#This Row],[Base EU/T]],Voltage[Voltage / V],Voltage[Voltage],"",1)</f>
        <v>IV</v>
      </c>
      <c r="E67" s="2">
        <v>25</v>
      </c>
      <c r="F67" s="2">
        <v>7000</v>
      </c>
      <c r="G67" s="1"/>
      <c r="H67" s="1" t="str">
        <f>_xlfn.XLOOKUP(EBF[[#This Row],[Base Temperature / K]],Coils[Temperature / K],Coils[Coil],"",1)</f>
        <v>Naquadah</v>
      </c>
      <c r="I67" s="1" t="str">
        <f>_xlfn.XLOOKUP(EBF[[#This Row],[Base Temperature / K]]+(1800*1),Coils[Temperature / K],Coils[Coil],"",1)</f>
        <v>Trinium</v>
      </c>
      <c r="J67" s="1" t="str">
        <f>_xlfn.XLOOKUP(EBF[[#This Row],[Base Temperature / K]]+(1800*2),Coils[Temperature / K],Coils[Coil],"",1)</f>
        <v>Tritanium</v>
      </c>
      <c r="K67" s="1" t="str">
        <f>_xlfn.XLOOKUP(EBF[[#This Row],[Base Temperature / K]]+(1800*3),Coils[Temperature / K],Coils[Coil],"",1)</f>
        <v/>
      </c>
      <c r="L67" s="1" t="str">
        <f>_xlfn.XLOOKUP(EBF[[#This Row],[Base Temperature / K]]+(1800*4),Coils[Temperature / K],Coils[Coil],"",1)</f>
        <v/>
      </c>
      <c r="M67" s="1" t="str">
        <f>_xlfn.XLOOKUP(EBF[[#This Row],[Base Temperature / K]]+(1800*5),Coils[Temperature / K],Coils[Coil],"",1)</f>
        <v/>
      </c>
      <c r="N67" s="1" t="s">
        <v>5</v>
      </c>
      <c r="O67" s="1"/>
      <c r="P67" s="2" t="str">
        <f>IFERROR(_xlfn.XLOOKUP(EBF[[#This Row],[Coils]],Coils[Coil],Coils[Temperature / K],"",1)+((_xlfn.XLOOKUP(EBF[[#This Row],[Energy hatch]],Voltage[Voltage],Voltage[Voltage tier],"",0)-1)*100),"")</f>
        <v/>
      </c>
      <c r="Q67" s="1" t="str">
        <f>IFERROR(0.95^ROUNDDOWN((EBF[[#This Row],[Heat capacity / K]]-EBF[[#This Row],[Base Temperature / K]])/900,0),"")</f>
        <v/>
      </c>
      <c r="R67" s="2" t="str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/>
      </c>
      <c r="S67" s="2" t="e">
        <f>EBF[[#This Row],[EU/t]]*4</f>
        <v>#VALUE!</v>
      </c>
      <c r="T67" s="6" t="str">
        <f>IFERROR(1/(2^ROUNDDOWN((EBF[[#This Row],[Heat capacity / K]]-EBF[[#This Row],[Base Temperature / K]])/1800,0)),"")</f>
        <v/>
      </c>
      <c r="U67" s="7">
        <f>IFERROR(1/2^(_xlfn.XLOOKUP(EBF[[#This Row],[Energy hatch]],Voltage[Voltage],Voltage[Voltage tier],"",0)-(_xlfn.XLOOKUP(EBF[[#This Row],[Base voltage]],Voltage[Voltage],Voltage[Voltage tier],"",0))),"")</f>
        <v>1</v>
      </c>
      <c r="V67" t="str">
        <f>IFERROR(EBF[[#This Row],[Coil overclock ]]*EBF[[#This Row],[Energy overclock]],"")</f>
        <v/>
      </c>
      <c r="W67" t="str">
        <f>IFERROR(IF(ROUNDDOWN(EBF[[#This Row],[Total OC]]*EBF[[#This Row],[Base duration / s]],1)&lt;0.1,0.1,ROUNDDOWN(EBF[[#This Row],[Total OC]]*EBF[[#This Row],[Base duration / s]],1)),"")</f>
        <v/>
      </c>
    </row>
    <row r="68" spans="2:23" x14ac:dyDescent="0.25">
      <c r="B68" t="s">
        <v>67</v>
      </c>
      <c r="C68" s="2">
        <v>30720</v>
      </c>
      <c r="D68" s="1" t="str">
        <f>_xlfn.XLOOKUP(EBF[[#This Row],[Base EU/T]],Voltage[Voltage / V],Voltage[Voltage],"",1)</f>
        <v>LuV</v>
      </c>
      <c r="E68" s="2">
        <v>50</v>
      </c>
      <c r="F68" s="2">
        <v>7200</v>
      </c>
      <c r="G68" s="1" t="s">
        <v>46</v>
      </c>
      <c r="H68" s="1" t="str">
        <f>_xlfn.XLOOKUP(EBF[[#This Row],[Base Temperature / K]],Coils[Temperature / K],Coils[Coil],"",1)</f>
        <v>Naquadah</v>
      </c>
      <c r="I68" s="1" t="str">
        <f>_xlfn.XLOOKUP(EBF[[#This Row],[Base Temperature / K]]+(1800*1),Coils[Temperature / K],Coils[Coil],"",1)</f>
        <v>Trinium</v>
      </c>
      <c r="J68" s="1" t="str">
        <f>_xlfn.XLOOKUP(EBF[[#This Row],[Base Temperature / K]]+(1800*2),Coils[Temperature / K],Coils[Coil],"",1)</f>
        <v>Tritanium</v>
      </c>
      <c r="K68" s="1" t="str">
        <f>_xlfn.XLOOKUP(EBF[[#This Row],[Base Temperature / K]]+(1800*3),Coils[Temperature / K],Coils[Coil],"",1)</f>
        <v/>
      </c>
      <c r="L68" s="1" t="str">
        <f>_xlfn.XLOOKUP(EBF[[#This Row],[Base Temperature / K]]+(1800*4),Coils[Temperature / K],Coils[Coil],"",1)</f>
        <v/>
      </c>
      <c r="M68" s="1" t="str">
        <f>_xlfn.XLOOKUP(EBF[[#This Row],[Base Temperature / K]]+(1800*5),Coils[Temperature / K],Coils[Coil],"",1)</f>
        <v/>
      </c>
      <c r="N68" s="1" t="s">
        <v>6</v>
      </c>
      <c r="O68" s="1"/>
      <c r="P68" s="2" t="str">
        <f>IFERROR(_xlfn.XLOOKUP(EBF[[#This Row],[Coils]],Coils[Coil],Coils[Temperature / K],"",1)+((_xlfn.XLOOKUP(EBF[[#This Row],[Energy hatch]],Voltage[Voltage],Voltage[Voltage tier],"",0)-1)*100),"")</f>
        <v/>
      </c>
      <c r="Q68" s="1" t="str">
        <f>IFERROR(0.95^ROUNDDOWN((EBF[[#This Row],[Heat capacity / K]]-EBF[[#This Row],[Base Temperature / K]])/900,0),"")</f>
        <v/>
      </c>
      <c r="R68" s="2" t="str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/>
      </c>
      <c r="S68" s="2" t="e">
        <f>EBF[[#This Row],[EU/t]]*4</f>
        <v>#VALUE!</v>
      </c>
      <c r="T68" s="6" t="str">
        <f>IFERROR(1/(2^ROUNDDOWN((EBF[[#This Row],[Heat capacity / K]]-EBF[[#This Row],[Base Temperature / K]])/1800,0)),"")</f>
        <v/>
      </c>
      <c r="U68" s="7">
        <f>IFERROR(1/2^(_xlfn.XLOOKUP(EBF[[#This Row],[Energy hatch]],Voltage[Voltage],Voltage[Voltage tier],"",0)-(_xlfn.XLOOKUP(EBF[[#This Row],[Base voltage]],Voltage[Voltage],Voltage[Voltage tier],"",0))),"")</f>
        <v>1</v>
      </c>
      <c r="V68" t="str">
        <f>IFERROR(EBF[[#This Row],[Coil overclock ]]*EBF[[#This Row],[Energy overclock]],"")</f>
        <v/>
      </c>
      <c r="W68" t="str">
        <f>IFERROR(IF(ROUNDDOWN(EBF[[#This Row],[Total OC]]*EBF[[#This Row],[Base duration / s]],1)&lt;0.1,0.1,ROUNDDOWN(EBF[[#This Row],[Total OC]]*EBF[[#This Row],[Base duration / s]],1)),"")</f>
        <v/>
      </c>
    </row>
    <row r="69" spans="2:23" x14ac:dyDescent="0.25">
      <c r="B69" t="s">
        <v>71</v>
      </c>
      <c r="C69" s="2">
        <v>30720</v>
      </c>
      <c r="D69" s="1" t="str">
        <f>_xlfn.XLOOKUP(EBF[[#This Row],[Base EU/T]],Voltage[Voltage / V],Voltage[Voltage],"",1)</f>
        <v>LuV</v>
      </c>
      <c r="E69" s="2">
        <v>60</v>
      </c>
      <c r="F69" s="2">
        <v>7200</v>
      </c>
      <c r="G69" s="1"/>
      <c r="H69" s="1" t="str">
        <f>_xlfn.XLOOKUP(EBF[[#This Row],[Base Temperature / K]],Coils[Temperature / K],Coils[Coil],"",1)</f>
        <v>Naquadah</v>
      </c>
      <c r="I69" s="1" t="str">
        <f>_xlfn.XLOOKUP(EBF[[#This Row],[Base Temperature / K]]+(1800*1),Coils[Temperature / K],Coils[Coil],"",1)</f>
        <v>Trinium</v>
      </c>
      <c r="J69" s="1" t="str">
        <f>_xlfn.XLOOKUP(EBF[[#This Row],[Base Temperature / K]]+(1800*2),Coils[Temperature / K],Coils[Coil],"",1)</f>
        <v>Tritanium</v>
      </c>
      <c r="K69" s="1" t="str">
        <f>_xlfn.XLOOKUP(EBF[[#This Row],[Base Temperature / K]]+(1800*3),Coils[Temperature / K],Coils[Coil],"",1)</f>
        <v/>
      </c>
      <c r="L69" s="1" t="str">
        <f>_xlfn.XLOOKUP(EBF[[#This Row],[Base Temperature / K]]+(1800*4),Coils[Temperature / K],Coils[Coil],"",1)</f>
        <v/>
      </c>
      <c r="M69" s="1" t="str">
        <f>_xlfn.XLOOKUP(EBF[[#This Row],[Base Temperature / K]]+(1800*5),Coils[Temperature / K],Coils[Coil],"",1)</f>
        <v/>
      </c>
      <c r="N69" s="1" t="s">
        <v>6</v>
      </c>
      <c r="O69" s="1"/>
      <c r="P69" s="2" t="str">
        <f>IFERROR(_xlfn.XLOOKUP(EBF[[#This Row],[Coils]],Coils[Coil],Coils[Temperature / K],"",1)+((_xlfn.XLOOKUP(EBF[[#This Row],[Energy hatch]],Voltage[Voltage],Voltage[Voltage tier],"",0)-1)*100),"")</f>
        <v/>
      </c>
      <c r="Q69" s="1" t="str">
        <f>IFERROR(0.95^ROUNDDOWN((EBF[[#This Row],[Heat capacity / K]]-EBF[[#This Row],[Base Temperature / K]])/900,0),"")</f>
        <v/>
      </c>
      <c r="R69" s="2" t="str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/>
      </c>
      <c r="S69" s="2" t="e">
        <f>EBF[[#This Row],[EU/t]]*4</f>
        <v>#VALUE!</v>
      </c>
      <c r="T69" s="6" t="str">
        <f>IFERROR(1/(2^ROUNDDOWN((EBF[[#This Row],[Heat capacity / K]]-EBF[[#This Row],[Base Temperature / K]])/1800,0)),"")</f>
        <v/>
      </c>
      <c r="U69" s="7">
        <f>IFERROR(1/2^(_xlfn.XLOOKUP(EBF[[#This Row],[Energy hatch]],Voltage[Voltage],Voltage[Voltage tier],"",0)-(_xlfn.XLOOKUP(EBF[[#This Row],[Base voltage]],Voltage[Voltage],Voltage[Voltage tier],"",0))),"")</f>
        <v>1</v>
      </c>
      <c r="V69" t="str">
        <f>IFERROR(EBF[[#This Row],[Coil overclock ]]*EBF[[#This Row],[Energy overclock]],"")</f>
        <v/>
      </c>
      <c r="W69" t="str">
        <f>IFERROR(IF(ROUNDDOWN(EBF[[#This Row],[Total OC]]*EBF[[#This Row],[Base duration / s]],1)&lt;0.1,0.1,ROUNDDOWN(EBF[[#This Row],[Total OC]]*EBF[[#This Row],[Base duration / s]],1)),"")</f>
        <v/>
      </c>
    </row>
    <row r="70" spans="2:23" x14ac:dyDescent="0.25">
      <c r="B70" t="s">
        <v>81</v>
      </c>
      <c r="C70" s="2">
        <v>32000</v>
      </c>
      <c r="D70" s="1" t="str">
        <f>_xlfn.XLOOKUP(EBF[[#This Row],[Base EU/T]],Voltage[Voltage / V],Voltage[Voltage],"",1)</f>
        <v>LuV</v>
      </c>
      <c r="E70" s="2">
        <v>60</v>
      </c>
      <c r="F70" s="2">
        <v>8600</v>
      </c>
      <c r="G70" s="1"/>
      <c r="H70" s="1" t="str">
        <f>_xlfn.XLOOKUP(EBF[[#This Row],[Base Temperature / K]],Coils[Temperature / K],Coils[Coil],"",1)</f>
        <v>Trinium</v>
      </c>
      <c r="I70" s="1" t="str">
        <f>_xlfn.XLOOKUP(EBF[[#This Row],[Base Temperature / K]]+(1800*1),Coils[Temperature / K],Coils[Coil],"",1)</f>
        <v>Tritanium</v>
      </c>
      <c r="J70" s="1" t="str">
        <f>_xlfn.XLOOKUP(EBF[[#This Row],[Base Temperature / K]]+(1800*2),Coils[Temperature / K],Coils[Coil],"",1)</f>
        <v/>
      </c>
      <c r="K70" s="1" t="str">
        <f>_xlfn.XLOOKUP(EBF[[#This Row],[Base Temperature / K]]+(1800*3),Coils[Temperature / K],Coils[Coil],"",1)</f>
        <v/>
      </c>
      <c r="L70" s="1" t="str">
        <f>_xlfn.XLOOKUP(EBF[[#This Row],[Base Temperature / K]]+(1800*4),Coils[Temperature / K],Coils[Coil],"",1)</f>
        <v/>
      </c>
      <c r="M70" s="1" t="str">
        <f>_xlfn.XLOOKUP(EBF[[#This Row],[Base Temperature / K]]+(1800*5),Coils[Temperature / K],Coils[Coil],"",1)</f>
        <v/>
      </c>
      <c r="N70" s="1" t="s">
        <v>6</v>
      </c>
      <c r="O70" s="1"/>
      <c r="P70" s="2" t="str">
        <f>IFERROR(_xlfn.XLOOKUP(EBF[[#This Row],[Coils]],Coils[Coil],Coils[Temperature / K],"",1)+((_xlfn.XLOOKUP(EBF[[#This Row],[Energy hatch]],Voltage[Voltage],Voltage[Voltage tier],"",0)-1)*100),"")</f>
        <v/>
      </c>
      <c r="Q70" s="1" t="str">
        <f>IFERROR(0.95^ROUNDDOWN((EBF[[#This Row],[Heat capacity / K]]-EBF[[#This Row],[Base Temperature / K]])/900,0),"")</f>
        <v/>
      </c>
      <c r="R70" s="2" t="str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/>
      </c>
      <c r="S70" s="2" t="e">
        <f>EBF[[#This Row],[EU/t]]*4</f>
        <v>#VALUE!</v>
      </c>
      <c r="T70" s="6" t="str">
        <f>IFERROR(1/(2^ROUNDDOWN((EBF[[#This Row],[Heat capacity / K]]-EBF[[#This Row],[Base Temperature / K]])/1800,0)),"")</f>
        <v/>
      </c>
      <c r="U70" s="7">
        <f>IFERROR(1/2^(_xlfn.XLOOKUP(EBF[[#This Row],[Energy hatch]],Voltage[Voltage],Voltage[Voltage tier],"",0)-(_xlfn.XLOOKUP(EBF[[#This Row],[Base voltage]],Voltage[Voltage],Voltage[Voltage tier],"",0))),"")</f>
        <v>1</v>
      </c>
      <c r="V70" t="str">
        <f>IFERROR(EBF[[#This Row],[Coil overclock ]]*EBF[[#This Row],[Energy overclock]],"")</f>
        <v/>
      </c>
      <c r="W70" t="str">
        <f>IFERROR(IF(ROUNDDOWN(EBF[[#This Row],[Total OC]]*EBF[[#This Row],[Base duration / s]],1)&lt;0.1,0.1,ROUNDDOWN(EBF[[#This Row],[Total OC]]*EBF[[#This Row],[Base duration / s]],1)),"")</f>
        <v/>
      </c>
    </row>
    <row r="71" spans="2:23" x14ac:dyDescent="0.25">
      <c r="B71" t="s">
        <v>76</v>
      </c>
      <c r="C71" s="2">
        <v>122880</v>
      </c>
      <c r="D71" s="1" t="str">
        <f>_xlfn.XLOOKUP(EBF[[#This Row],[Base EU/T]],Voltage[Voltage / V],Voltage[Voltage],"",1)</f>
        <v>ZPM</v>
      </c>
      <c r="E71" s="2">
        <v>60</v>
      </c>
      <c r="F71" s="2">
        <v>8747</v>
      </c>
      <c r="G71" s="1" t="s">
        <v>29</v>
      </c>
      <c r="H71" s="1" t="str">
        <f>_xlfn.XLOOKUP(EBF[[#This Row],[Base Temperature / K]],Coils[Temperature / K],Coils[Coil],"",1)</f>
        <v>Trinium</v>
      </c>
      <c r="I71" s="1" t="str">
        <f>_xlfn.XLOOKUP(EBF[[#This Row],[Base Temperature / K]]+(1800*1),Coils[Temperature / K],Coils[Coil],"",1)</f>
        <v>Tritanium</v>
      </c>
      <c r="J71" s="1" t="str">
        <f>_xlfn.XLOOKUP(EBF[[#This Row],[Base Temperature / K]]+(1800*2),Coils[Temperature / K],Coils[Coil],"",1)</f>
        <v/>
      </c>
      <c r="K71" s="1" t="str">
        <f>_xlfn.XLOOKUP(EBF[[#This Row],[Base Temperature / K]]+(1800*3),Coils[Temperature / K],Coils[Coil],"",1)</f>
        <v/>
      </c>
      <c r="L71" s="1" t="str">
        <f>_xlfn.XLOOKUP(EBF[[#This Row],[Base Temperature / K]]+(1800*4),Coils[Temperature / K],Coils[Coil],"",1)</f>
        <v/>
      </c>
      <c r="M71" s="1" t="str">
        <f>_xlfn.XLOOKUP(EBF[[#This Row],[Base Temperature / K]]+(1800*5),Coils[Temperature / K],Coils[Coil],"",1)</f>
        <v/>
      </c>
      <c r="N71" s="1" t="s">
        <v>8</v>
      </c>
      <c r="O71" s="1"/>
      <c r="P71" s="2" t="str">
        <f>IFERROR(_xlfn.XLOOKUP(EBF[[#This Row],[Coils]],Coils[Coil],Coils[Temperature / K],"",1)+((_xlfn.XLOOKUP(EBF[[#This Row],[Energy hatch]],Voltage[Voltage],Voltage[Voltage tier],"",0)-1)*100),"")</f>
        <v/>
      </c>
      <c r="Q71" s="1" t="str">
        <f>IFERROR(0.95^ROUNDDOWN((EBF[[#This Row],[Heat capacity / K]]-EBF[[#This Row],[Base Temperature / K]])/900,0),"")</f>
        <v/>
      </c>
      <c r="R71" s="2" t="str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/>
      </c>
      <c r="S71" s="2" t="e">
        <f>EBF[[#This Row],[EU/t]]*4</f>
        <v>#VALUE!</v>
      </c>
      <c r="T71" s="6" t="str">
        <f>IFERROR(1/(2^ROUNDDOWN((EBF[[#This Row],[Heat capacity / K]]-EBF[[#This Row],[Base Temperature / K]])/1800,0)),"")</f>
        <v/>
      </c>
      <c r="U71" s="7">
        <f>IFERROR(1/2^(_xlfn.XLOOKUP(EBF[[#This Row],[Energy hatch]],Voltage[Voltage],Voltage[Voltage tier],"",0)-(_xlfn.XLOOKUP(EBF[[#This Row],[Base voltage]],Voltage[Voltage],Voltage[Voltage tier],"",0))),"")</f>
        <v>1</v>
      </c>
      <c r="V71" t="str">
        <f>IFERROR(EBF[[#This Row],[Coil overclock ]]*EBF[[#This Row],[Energy overclock]],"")</f>
        <v/>
      </c>
      <c r="W71" t="str">
        <f>IFERROR(IF(ROUNDDOWN(EBF[[#This Row],[Total OC]]*EBF[[#This Row],[Base duration / s]],1)&lt;0.1,0.1,ROUNDDOWN(EBF[[#This Row],[Total OC]]*EBF[[#This Row],[Base duration / s]],1)),"")</f>
        <v/>
      </c>
    </row>
    <row r="72" spans="2:23" x14ac:dyDescent="0.25">
      <c r="B72" t="s">
        <v>38</v>
      </c>
      <c r="C72" s="2">
        <v>250000</v>
      </c>
      <c r="D72" s="1" t="str">
        <f>_xlfn.XLOOKUP(EBF[[#This Row],[Base EU/T]],Voltage[Voltage / V],Voltage[Voltage],"",1)</f>
        <v>UV</v>
      </c>
      <c r="E72" s="2">
        <v>10</v>
      </c>
      <c r="F72" s="2">
        <v>9000</v>
      </c>
      <c r="G72" s="1"/>
      <c r="H72" s="1" t="str">
        <f>_xlfn.XLOOKUP(EBF[[#This Row],[Base Temperature / K]],Coils[Temperature / K],Coils[Coil],"",1)</f>
        <v>Trinium</v>
      </c>
      <c r="I72" s="1" t="str">
        <f>_xlfn.XLOOKUP(EBF[[#This Row],[Base Temperature / K]]+(1800*1),Coils[Temperature / K],Coils[Coil],"",1)</f>
        <v>Tritanium</v>
      </c>
      <c r="J72" s="1" t="str">
        <f>_xlfn.XLOOKUP(EBF[[#This Row],[Base Temperature / K]]+(1800*2),Coils[Temperature / K],Coils[Coil],"",1)</f>
        <v/>
      </c>
      <c r="K72" s="1" t="str">
        <f>_xlfn.XLOOKUP(EBF[[#This Row],[Base Temperature / K]]+(1800*3),Coils[Temperature / K],Coils[Coil],"",1)</f>
        <v/>
      </c>
      <c r="L72" s="1" t="str">
        <f>_xlfn.XLOOKUP(EBF[[#This Row],[Base Temperature / K]]+(1800*4),Coils[Temperature / K],Coils[Coil],"",1)</f>
        <v/>
      </c>
      <c r="M72" s="1" t="str">
        <f>_xlfn.XLOOKUP(EBF[[#This Row],[Base Temperature / K]]+(1800*5),Coils[Temperature / K],Coils[Coil],"",1)</f>
        <v/>
      </c>
      <c r="N72" s="1" t="s">
        <v>7</v>
      </c>
      <c r="O72" s="1"/>
      <c r="P72" s="2" t="str">
        <f>IFERROR(_xlfn.XLOOKUP(EBF[[#This Row],[Coils]],Coils[Coil],Coils[Temperature / K],"",1)+((_xlfn.XLOOKUP(EBF[[#This Row],[Energy hatch]],Voltage[Voltage],Voltage[Voltage tier],"",0)-1)*100),"")</f>
        <v/>
      </c>
      <c r="Q72" s="1" t="str">
        <f>IFERROR(0.95^ROUNDDOWN((EBF[[#This Row],[Heat capacity / K]]-EBF[[#This Row],[Base Temperature / K]])/900,0),"")</f>
        <v/>
      </c>
      <c r="R72" s="2" t="str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/>
      </c>
      <c r="S72" s="2" t="e">
        <f>EBF[[#This Row],[EU/t]]*4</f>
        <v>#VALUE!</v>
      </c>
      <c r="T72" s="6" t="str">
        <f>IFERROR(1/(2^ROUNDDOWN((EBF[[#This Row],[Heat capacity / K]]-EBF[[#This Row],[Base Temperature / K]])/1800,0)),"")</f>
        <v/>
      </c>
      <c r="U72" s="7">
        <f>IFERROR(1/2^(_xlfn.XLOOKUP(EBF[[#This Row],[Energy hatch]],Voltage[Voltage],Voltage[Voltage tier],"",0)-(_xlfn.XLOOKUP(EBF[[#This Row],[Base voltage]],Voltage[Voltage],Voltage[Voltage tier],"",0))),"")</f>
        <v>1</v>
      </c>
      <c r="V72" t="str">
        <f>IFERROR(EBF[[#This Row],[Coil overclock ]]*EBF[[#This Row],[Energy overclock]],"")</f>
        <v/>
      </c>
      <c r="W72" t="str">
        <f>IFERROR(IF(ROUNDDOWN(EBF[[#This Row],[Total OC]]*EBF[[#This Row],[Base duration / s]],1)&lt;0.1,0.1,ROUNDDOWN(EBF[[#This Row],[Total OC]]*EBF[[#This Row],[Base duration / s]],1)),"")</f>
        <v/>
      </c>
    </row>
    <row r="73" spans="2:23" x14ac:dyDescent="0.25">
      <c r="B73" t="s">
        <v>49</v>
      </c>
      <c r="C73" s="2">
        <v>122880</v>
      </c>
      <c r="D73" s="1" t="str">
        <f>_xlfn.XLOOKUP(EBF[[#This Row],[Base EU/T]],Voltage[Voltage / V],Voltage[Voltage],"",1)</f>
        <v>ZPM</v>
      </c>
      <c r="E73" s="2">
        <v>30</v>
      </c>
      <c r="F73" s="2">
        <v>9000</v>
      </c>
      <c r="G73" s="1"/>
      <c r="H73" s="1" t="str">
        <f>_xlfn.XLOOKUP(EBF[[#This Row],[Base Temperature / K]],Coils[Temperature / K],Coils[Coil],"",1)</f>
        <v>Trinium</v>
      </c>
      <c r="I73" s="1" t="str">
        <f>_xlfn.XLOOKUP(EBF[[#This Row],[Base Temperature / K]]+(1800*1),Coils[Temperature / K],Coils[Coil],"",1)</f>
        <v>Tritanium</v>
      </c>
      <c r="J73" s="1" t="str">
        <f>_xlfn.XLOOKUP(EBF[[#This Row],[Base Temperature / K]]+(1800*2),Coils[Temperature / K],Coils[Coil],"",1)</f>
        <v/>
      </c>
      <c r="K73" s="1" t="str">
        <f>_xlfn.XLOOKUP(EBF[[#This Row],[Base Temperature / K]]+(1800*3),Coils[Temperature / K],Coils[Coil],"",1)</f>
        <v/>
      </c>
      <c r="L73" s="1" t="str">
        <f>_xlfn.XLOOKUP(EBF[[#This Row],[Base Temperature / K]]+(1800*4),Coils[Temperature / K],Coils[Coil],"",1)</f>
        <v/>
      </c>
      <c r="M73" s="1" t="str">
        <f>_xlfn.XLOOKUP(EBF[[#This Row],[Base Temperature / K]]+(1800*5),Coils[Temperature / K],Coils[Coil],"",1)</f>
        <v/>
      </c>
      <c r="N73" s="1" t="s">
        <v>8</v>
      </c>
      <c r="O73" s="1"/>
      <c r="P73" s="2" t="str">
        <f>IFERROR(_xlfn.XLOOKUP(EBF[[#This Row],[Coils]],Coils[Coil],Coils[Temperature / K],"",1)+((_xlfn.XLOOKUP(EBF[[#This Row],[Energy hatch]],Voltage[Voltage],Voltage[Voltage tier],"",0)-1)*100),"")</f>
        <v/>
      </c>
      <c r="Q73" s="1" t="str">
        <f>IFERROR(0.95^ROUNDDOWN((EBF[[#This Row],[Heat capacity / K]]-EBF[[#This Row],[Base Temperature / K]])/900,0),"")</f>
        <v/>
      </c>
      <c r="R73" s="2" t="str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/>
      </c>
      <c r="S73" s="2" t="e">
        <f>EBF[[#This Row],[EU/t]]*4</f>
        <v>#VALUE!</v>
      </c>
      <c r="T73" s="6" t="str">
        <f>IFERROR(1/(2^ROUNDDOWN((EBF[[#This Row],[Heat capacity / K]]-EBF[[#This Row],[Base Temperature / K]])/1800,0)),"")</f>
        <v/>
      </c>
      <c r="U73" s="7">
        <f>IFERROR(1/2^(_xlfn.XLOOKUP(EBF[[#This Row],[Energy hatch]],Voltage[Voltage],Voltage[Voltage tier],"",0)-(_xlfn.XLOOKUP(EBF[[#This Row],[Base voltage]],Voltage[Voltage],Voltage[Voltage tier],"",0))),"")</f>
        <v>1</v>
      </c>
      <c r="V73" t="str">
        <f>IFERROR(EBF[[#This Row],[Coil overclock ]]*EBF[[#This Row],[Energy overclock]],"")</f>
        <v/>
      </c>
      <c r="W73" t="str">
        <f>IFERROR(IF(ROUNDDOWN(EBF[[#This Row],[Total OC]]*EBF[[#This Row],[Base duration / s]],1)&lt;0.1,0.1,ROUNDDOWN(EBF[[#This Row],[Total OC]]*EBF[[#This Row],[Base duration / s]],1)),"")</f>
        <v/>
      </c>
    </row>
    <row r="74" spans="2:23" x14ac:dyDescent="0.25">
      <c r="B74" t="s">
        <v>18</v>
      </c>
      <c r="C74" s="2">
        <v>7680</v>
      </c>
      <c r="D74" s="1" t="str">
        <f>_xlfn.XLOOKUP(EBF[[#This Row],[Base EU/T]],Voltage[Voltage / V],Voltage[Voltage],"",1)</f>
        <v>IV</v>
      </c>
      <c r="E74" s="2">
        <v>75</v>
      </c>
      <c r="F74" s="2">
        <v>9000</v>
      </c>
      <c r="G74" s="1"/>
      <c r="H74" s="1" t="str">
        <f>_xlfn.XLOOKUP(EBF[[#This Row],[Base Temperature / K]],Coils[Temperature / K],Coils[Coil],"",1)</f>
        <v>Trinium</v>
      </c>
      <c r="I74" s="1" t="str">
        <f>_xlfn.XLOOKUP(EBF[[#This Row],[Base Temperature / K]]+(1800*1),Coils[Temperature / K],Coils[Coil],"",1)</f>
        <v>Tritanium</v>
      </c>
      <c r="J74" s="1" t="str">
        <f>_xlfn.XLOOKUP(EBF[[#This Row],[Base Temperature / K]]+(1800*2),Coils[Temperature / K],Coils[Coil],"",1)</f>
        <v/>
      </c>
      <c r="K74" s="1" t="str">
        <f>_xlfn.XLOOKUP(EBF[[#This Row],[Base Temperature / K]]+(1800*3),Coils[Temperature / K],Coils[Coil],"",1)</f>
        <v/>
      </c>
      <c r="L74" s="1" t="str">
        <f>_xlfn.XLOOKUP(EBF[[#This Row],[Base Temperature / K]]+(1800*4),Coils[Temperature / K],Coils[Coil],"",1)</f>
        <v/>
      </c>
      <c r="M74" s="1" t="str">
        <f>_xlfn.XLOOKUP(EBF[[#This Row],[Base Temperature / K]]+(1800*5),Coils[Temperature / K],Coils[Coil],"",1)</f>
        <v/>
      </c>
      <c r="N74" s="1" t="s">
        <v>5</v>
      </c>
      <c r="O74" s="1"/>
      <c r="P74" s="2" t="str">
        <f>IFERROR(_xlfn.XLOOKUP(EBF[[#This Row],[Coils]],Coils[Coil],Coils[Temperature / K],"",1)+((_xlfn.XLOOKUP(EBF[[#This Row],[Energy hatch]],Voltage[Voltage],Voltage[Voltage tier],"",0)-1)*100),"")</f>
        <v/>
      </c>
      <c r="Q74" s="1" t="str">
        <f>IFERROR(0.95^ROUNDDOWN((EBF[[#This Row],[Heat capacity / K]]-EBF[[#This Row],[Base Temperature / K]])/900,0),"")</f>
        <v/>
      </c>
      <c r="R74" s="2" t="str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/>
      </c>
      <c r="S74" s="2" t="e">
        <f>EBF[[#This Row],[EU/t]]*4</f>
        <v>#VALUE!</v>
      </c>
      <c r="T74" s="6" t="str">
        <f>IFERROR(1/(2^ROUNDDOWN((EBF[[#This Row],[Heat capacity / K]]-EBF[[#This Row],[Base Temperature / K]])/1800,0)),"")</f>
        <v/>
      </c>
      <c r="U74" s="7">
        <f>IFERROR(1/2^(_xlfn.XLOOKUP(EBF[[#This Row],[Energy hatch]],Voltage[Voltage],Voltage[Voltage tier],"",0)-(_xlfn.XLOOKUP(EBF[[#This Row],[Base voltage]],Voltage[Voltage],Voltage[Voltage tier],"",0))),"")</f>
        <v>1</v>
      </c>
      <c r="V74" t="str">
        <f>IFERROR(EBF[[#This Row],[Coil overclock ]]*EBF[[#This Row],[Energy overclock]],"")</f>
        <v/>
      </c>
      <c r="W74" t="str">
        <f>IFERROR(IF(ROUNDDOWN(EBF[[#This Row],[Total OC]]*EBF[[#This Row],[Base duration / s]],1)&lt;0.1,0.1,ROUNDDOWN(EBF[[#This Row],[Total OC]]*EBF[[#This Row],[Base duration / s]],1)),"")</f>
        <v/>
      </c>
    </row>
    <row r="75" spans="2:23" x14ac:dyDescent="0.25">
      <c r="B75" t="s">
        <v>20</v>
      </c>
      <c r="C75" s="2">
        <v>30720</v>
      </c>
      <c r="D75" s="1" t="str">
        <f>_xlfn.XLOOKUP(EBF[[#This Row],[Base EU/T]],Voltage[Voltage / V],Voltage[Voltage],"",1)</f>
        <v>LuV</v>
      </c>
      <c r="E75" s="2">
        <v>50</v>
      </c>
      <c r="F75" s="2">
        <v>9900</v>
      </c>
      <c r="G75" s="1" t="s">
        <v>46</v>
      </c>
      <c r="H75" s="1" t="str">
        <f>_xlfn.XLOOKUP(EBF[[#This Row],[Base Temperature / K]],Coils[Temperature / K],Coils[Coil],"",1)</f>
        <v>Tritanium</v>
      </c>
      <c r="I75" s="1" t="str">
        <f>_xlfn.XLOOKUP(EBF[[#This Row],[Base Temperature / K]]+(1800*1),Coils[Temperature / K],Coils[Coil],"",1)</f>
        <v/>
      </c>
      <c r="J75" s="1" t="str">
        <f>_xlfn.XLOOKUP(EBF[[#This Row],[Base Temperature / K]]+(1800*2),Coils[Temperature / K],Coils[Coil],"",1)</f>
        <v/>
      </c>
      <c r="K75" s="1" t="str">
        <f>_xlfn.XLOOKUP(EBF[[#This Row],[Base Temperature / K]]+(1800*3),Coils[Temperature / K],Coils[Coil],"",1)</f>
        <v/>
      </c>
      <c r="L75" s="1" t="str">
        <f>_xlfn.XLOOKUP(EBF[[#This Row],[Base Temperature / K]]+(1800*4),Coils[Temperature / K],Coils[Coil],"",1)</f>
        <v/>
      </c>
      <c r="M75" s="1" t="str">
        <f>_xlfn.XLOOKUP(EBF[[#This Row],[Base Temperature / K]]+(1800*5),Coils[Temperature / K],Coils[Coil],"",1)</f>
        <v/>
      </c>
      <c r="N75" s="1" t="s">
        <v>6</v>
      </c>
      <c r="O75" s="1"/>
      <c r="P75" s="2" t="str">
        <f>IFERROR(_xlfn.XLOOKUP(EBF[[#This Row],[Coils]],Coils[Coil],Coils[Temperature / K],"",1)+((_xlfn.XLOOKUP(EBF[[#This Row],[Energy hatch]],Voltage[Voltage],Voltage[Voltage tier],"",0)-1)*100),"")</f>
        <v/>
      </c>
      <c r="Q75" s="1" t="str">
        <f>IFERROR(0.95^ROUNDDOWN((EBF[[#This Row],[Heat capacity / K]]-EBF[[#This Row],[Base Temperature / K]])/900,0),"")</f>
        <v/>
      </c>
      <c r="R75" s="2" t="str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/>
      </c>
      <c r="S75" s="2" t="e">
        <f>EBF[[#This Row],[EU/t]]*4</f>
        <v>#VALUE!</v>
      </c>
      <c r="T75" s="6" t="str">
        <f>IFERROR(1/(2^ROUNDDOWN((EBF[[#This Row],[Heat capacity / K]]-EBF[[#This Row],[Base Temperature / K]])/1800,0)),"")</f>
        <v/>
      </c>
      <c r="U75" s="7">
        <f>IFERROR(1/2^(_xlfn.XLOOKUP(EBF[[#This Row],[Energy hatch]],Voltage[Voltage],Voltage[Voltage tier],"",0)-(_xlfn.XLOOKUP(EBF[[#This Row],[Base voltage]],Voltage[Voltage],Voltage[Voltage tier],"",0))),"")</f>
        <v>1</v>
      </c>
      <c r="V75" t="str">
        <f>IFERROR(EBF[[#This Row],[Coil overclock ]]*EBF[[#This Row],[Energy overclock]],"")</f>
        <v/>
      </c>
      <c r="W75" t="str">
        <f>IFERROR(IF(ROUNDDOWN(EBF[[#This Row],[Total OC]]*EBF[[#This Row],[Base duration / s]],1)&lt;0.1,0.1,ROUNDDOWN(EBF[[#This Row],[Total OC]]*EBF[[#This Row],[Base duration / s]],1)),"")</f>
        <v/>
      </c>
    </row>
    <row r="76" spans="2:23" x14ac:dyDescent="0.25">
      <c r="B76" t="s">
        <v>34</v>
      </c>
      <c r="C76" s="2">
        <v>120</v>
      </c>
      <c r="D76" s="1" t="str">
        <f>_xlfn.XLOOKUP(EBF[[#This Row],[Base EU/T]],Voltage[Voltage / V],Voltage[Voltage],"",1)</f>
        <v>MV</v>
      </c>
      <c r="E76" s="2">
        <v>1058.4000000000001</v>
      </c>
      <c r="F76" s="2">
        <v>10800</v>
      </c>
      <c r="G76" s="1"/>
      <c r="H76" s="1" t="str">
        <f>_xlfn.XLOOKUP(EBF[[#This Row],[Base Temperature / K]],Coils[Temperature / K],Coils[Coil],"",1)</f>
        <v>Tritanium</v>
      </c>
      <c r="I76" s="1" t="str">
        <f>_xlfn.XLOOKUP(EBF[[#This Row],[Base Temperature / K]]+(1800*1),Coils[Temperature / K],Coils[Coil],"",1)</f>
        <v/>
      </c>
      <c r="J76" s="1" t="str">
        <f>_xlfn.XLOOKUP(EBF[[#This Row],[Base Temperature / K]]+(1800*2),Coils[Temperature / K],Coils[Coil],"",1)</f>
        <v/>
      </c>
      <c r="K76" s="1" t="str">
        <f>_xlfn.XLOOKUP(EBF[[#This Row],[Base Temperature / K]]+(1800*3),Coils[Temperature / K],Coils[Coil],"",1)</f>
        <v/>
      </c>
      <c r="L76" s="1" t="str">
        <f>_xlfn.XLOOKUP(EBF[[#This Row],[Base Temperature / K]]+(1800*4),Coils[Temperature / K],Coils[Coil],"",1)</f>
        <v/>
      </c>
      <c r="M76" s="1" t="str">
        <f>_xlfn.XLOOKUP(EBF[[#This Row],[Base Temperature / K]]+(1800*5),Coils[Temperature / K],Coils[Coil],"",1)</f>
        <v/>
      </c>
      <c r="N76" s="1" t="s">
        <v>3</v>
      </c>
      <c r="O76" s="1"/>
      <c r="P76" s="2" t="str">
        <f>IFERROR(_xlfn.XLOOKUP(EBF[[#This Row],[Coils]],Coils[Coil],Coils[Temperature / K],"",1)+((_xlfn.XLOOKUP(EBF[[#This Row],[Energy hatch]],Voltage[Voltage],Voltage[Voltage tier],"",0)-1)*100),"")</f>
        <v/>
      </c>
      <c r="Q76" s="1" t="str">
        <f>IFERROR(0.95^ROUNDDOWN((EBF[[#This Row],[Heat capacity / K]]-EBF[[#This Row],[Base Temperature / K]])/900,0),"")</f>
        <v/>
      </c>
      <c r="R76" s="2" t="str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/>
      </c>
      <c r="S76" s="2" t="e">
        <f>EBF[[#This Row],[EU/t]]*4</f>
        <v>#VALUE!</v>
      </c>
      <c r="T76" s="6" t="str">
        <f>IFERROR(1/(2^ROUNDDOWN((EBF[[#This Row],[Heat capacity / K]]-EBF[[#This Row],[Base Temperature / K]])/1800,0)),"")</f>
        <v/>
      </c>
      <c r="U76" s="7">
        <f>IFERROR(1/2^(_xlfn.XLOOKUP(EBF[[#This Row],[Energy hatch]],Voltage[Voltage],Voltage[Voltage tier],"",0)-(_xlfn.XLOOKUP(EBF[[#This Row],[Base voltage]],Voltage[Voltage],Voltage[Voltage tier],"",0))),"")</f>
        <v>0.5</v>
      </c>
      <c r="V76" t="str">
        <f>IFERROR(EBF[[#This Row],[Coil overclock ]]*EBF[[#This Row],[Energy overclock]],"")</f>
        <v/>
      </c>
      <c r="W76" t="str">
        <f>IFERROR(IF(ROUNDDOWN(EBF[[#This Row],[Total OC]]*EBF[[#This Row],[Base duration / s]],1)&lt;0.1,0.1,ROUNDDOWN(EBF[[#This Row],[Total OC]]*EBF[[#This Row],[Base duration / s]],1)),"")</f>
        <v/>
      </c>
    </row>
    <row r="77" spans="2:23" x14ac:dyDescent="0.25">
      <c r="B77" t="s">
        <v>28</v>
      </c>
      <c r="C77" s="2">
        <v>120</v>
      </c>
      <c r="D77" s="1" t="str">
        <f>_xlfn.XLOOKUP(EBF[[#This Row],[Base EU/T]],Voltage[Voltage / V],Voltage[Voltage],"",1)</f>
        <v>MV</v>
      </c>
      <c r="E77" s="2">
        <v>2397.6</v>
      </c>
      <c r="F77" s="2">
        <v>10800</v>
      </c>
      <c r="G77" s="1" t="s">
        <v>29</v>
      </c>
      <c r="H77" s="1" t="str">
        <f>_xlfn.XLOOKUP(EBF[[#This Row],[Base Temperature / K]],Coils[Temperature / K],Coils[Coil],"",1)</f>
        <v>Tritanium</v>
      </c>
      <c r="I77" s="1" t="str">
        <f>_xlfn.XLOOKUP(EBF[[#This Row],[Base Temperature / K]]+(1800*1),Coils[Temperature / K],Coils[Coil],"",1)</f>
        <v/>
      </c>
      <c r="J77" s="1" t="str">
        <f>_xlfn.XLOOKUP(EBF[[#This Row],[Base Temperature / K]]+(1800*2),Coils[Temperature / K],Coils[Coil],"",1)</f>
        <v/>
      </c>
      <c r="K77" s="1" t="str">
        <f>_xlfn.XLOOKUP(EBF[[#This Row],[Base Temperature / K]]+(1800*3),Coils[Temperature / K],Coils[Coil],"",1)</f>
        <v/>
      </c>
      <c r="L77" s="1" t="str">
        <f>_xlfn.XLOOKUP(EBF[[#This Row],[Base Temperature / K]]+(1800*4),Coils[Temperature / K],Coils[Coil],"",1)</f>
        <v/>
      </c>
      <c r="M77" s="1" t="str">
        <f>_xlfn.XLOOKUP(EBF[[#This Row],[Base Temperature / K]]+(1800*5),Coils[Temperature / K],Coils[Coil],"",1)</f>
        <v/>
      </c>
      <c r="N77" s="1" t="s">
        <v>3</v>
      </c>
      <c r="O77" s="1"/>
      <c r="P77" s="2" t="str">
        <f>IFERROR(_xlfn.XLOOKUP(EBF[[#This Row],[Coils]],Coils[Coil],Coils[Temperature / K],"",1)+((_xlfn.XLOOKUP(EBF[[#This Row],[Energy hatch]],Voltage[Voltage],Voltage[Voltage tier],"",0)-1)*100),"")</f>
        <v/>
      </c>
      <c r="Q77" s="1" t="str">
        <f>IFERROR(0.95^ROUNDDOWN((EBF[[#This Row],[Heat capacity / K]]-EBF[[#This Row],[Base Temperature / K]])/900,0),"")</f>
        <v/>
      </c>
      <c r="R77" s="2" t="str">
        <f>IFERROR(EBF[[#This Row],[Energy discount]]*4^(_xlfn.XLOOKUP(EBF[[#This Row],[Energy hatch]],Voltage[Voltage],Voltage[Voltage tier],"",0)-(_xlfn.XLOOKUP(EBF[[#This Row],[Base voltage]],Voltage[Voltage],Voltage[Voltage tier],"",0)))*EBF[[#This Row],[Base EU/T]],"")</f>
        <v/>
      </c>
      <c r="S77" s="2" t="e">
        <f>EBF[[#This Row],[EU/t]]*4</f>
        <v>#VALUE!</v>
      </c>
      <c r="T77" s="6" t="str">
        <f>IFERROR(1/(2^ROUNDDOWN((EBF[[#This Row],[Heat capacity / K]]-EBF[[#This Row],[Base Temperature / K]])/1800,0)),"")</f>
        <v/>
      </c>
      <c r="U77" s="7">
        <f>IFERROR(1/2^(_xlfn.XLOOKUP(EBF[[#This Row],[Energy hatch]],Voltage[Voltage],Voltage[Voltage tier],"",0)-(_xlfn.XLOOKUP(EBF[[#This Row],[Base voltage]],Voltage[Voltage],Voltage[Voltage tier],"",0))),"")</f>
        <v>0.5</v>
      </c>
      <c r="V77" t="str">
        <f>IFERROR(EBF[[#This Row],[Coil overclock ]]*EBF[[#This Row],[Energy overclock]],"")</f>
        <v/>
      </c>
      <c r="W77" t="str">
        <f>IFERROR(IF(ROUNDDOWN(EBF[[#This Row],[Total OC]]*EBF[[#This Row],[Base duration / s]],1)&lt;0.1,0.1,ROUNDDOWN(EBF[[#This Row],[Total OC]]*EBF[[#This Row],[Base duration / s]],1)),"")</f>
        <v/>
      </c>
    </row>
  </sheetData>
  <conditionalFormatting sqref="H3:H77">
    <cfRule type="containsText" dxfId="112" priority="17" operator="containsText" text="Tritanium">
      <formula>NOT(ISERROR(SEARCH("Tritanium",H3)))</formula>
    </cfRule>
    <cfRule type="containsText" dxfId="111" priority="18" operator="containsText" text="Trinium">
      <formula>NOT(ISERROR(SEARCH("Trinium",H3)))</formula>
    </cfRule>
    <cfRule type="containsText" dxfId="110" priority="19" operator="containsText" text="Naquadah">
      <formula>NOT(ISERROR(SEARCH("Naquadah",H3)))</formula>
    </cfRule>
    <cfRule type="containsText" dxfId="109" priority="20" operator="containsText" text="HSS-G">
      <formula>NOT(ISERROR(SEARCH("HSS-G",H3)))</formula>
    </cfRule>
    <cfRule type="containsText" dxfId="108" priority="21" operator="containsText" text="Tungstensteel">
      <formula>NOT(ISERROR(SEARCH("Tungstensteel",H3)))</formula>
    </cfRule>
    <cfRule type="containsText" dxfId="107" priority="22" operator="containsText" text="Nichrome">
      <formula>NOT(ISERROR(SEARCH("Nichrome",H3)))</formula>
    </cfRule>
    <cfRule type="containsText" dxfId="106" priority="23" operator="containsText" text="Kanthal">
      <formula>NOT(ISERROR(SEARCH("Kanthal",H3)))</formula>
    </cfRule>
    <cfRule type="containsText" dxfId="105" priority="24" operator="containsText" text="Cupronickel">
      <formula>NOT(ISERROR(SEARCH("Cupronickel",H3)))</formula>
    </cfRule>
  </conditionalFormatting>
  <conditionalFormatting sqref="I3:M77">
    <cfRule type="containsText" dxfId="104" priority="9" operator="containsText" text="Tritanium">
      <formula>NOT(ISERROR(SEARCH("Tritanium",I3)))</formula>
    </cfRule>
    <cfRule type="containsText" dxfId="103" priority="10" operator="containsText" text="Trinium">
      <formula>NOT(ISERROR(SEARCH("Trinium",I3)))</formula>
    </cfRule>
    <cfRule type="containsText" dxfId="102" priority="11" operator="containsText" text="Naquadah">
      <formula>NOT(ISERROR(SEARCH("Naquadah",I3)))</formula>
    </cfRule>
    <cfRule type="containsText" dxfId="101" priority="12" operator="containsText" text="HSS-G">
      <formula>NOT(ISERROR(SEARCH("HSS-G",I3)))</formula>
    </cfRule>
    <cfRule type="containsText" dxfId="100" priority="13" operator="containsText" text="Tungstensteel">
      <formula>NOT(ISERROR(SEARCH("Tungstensteel",I3)))</formula>
    </cfRule>
    <cfRule type="containsText" dxfId="99" priority="14" operator="containsText" text="Nichrome">
      <formula>NOT(ISERROR(SEARCH("Nichrome",I3)))</formula>
    </cfRule>
    <cfRule type="containsText" dxfId="98" priority="15" operator="containsText" text="Kanthal">
      <formula>NOT(ISERROR(SEARCH("Kanthal",I3)))</formula>
    </cfRule>
    <cfRule type="containsText" dxfId="97" priority="16" operator="containsText" text="Cupronickel">
      <formula>NOT(ISERROR(SEARCH("Cupronickel",I3)))</formula>
    </cfRule>
  </conditionalFormatting>
  <conditionalFormatting sqref="O3:O77">
    <cfRule type="containsText" dxfId="96" priority="1" operator="containsText" text="Tritanium">
      <formula>NOT(ISERROR(SEARCH("Tritanium",O3)))</formula>
    </cfRule>
    <cfRule type="containsText" dxfId="95" priority="2" operator="containsText" text="Trinium">
      <formula>NOT(ISERROR(SEARCH("Trinium",O3)))</formula>
    </cfRule>
    <cfRule type="containsText" dxfId="94" priority="3" operator="containsText" text="Naquadah">
      <formula>NOT(ISERROR(SEARCH("Naquadah",O3)))</formula>
    </cfRule>
    <cfRule type="containsText" dxfId="93" priority="4" operator="containsText" text="HSS-G">
      <formula>NOT(ISERROR(SEARCH("HSS-G",O3)))</formula>
    </cfRule>
    <cfRule type="containsText" dxfId="92" priority="5" operator="containsText" text="Tungstensteel">
      <formula>NOT(ISERROR(SEARCH("Tungstensteel",O3)))</formula>
    </cfRule>
    <cfRule type="containsText" dxfId="91" priority="6" operator="containsText" text="Nichrome">
      <formula>NOT(ISERROR(SEARCH("Nichrome",O3)))</formula>
    </cfRule>
    <cfRule type="containsText" dxfId="90" priority="7" operator="containsText" text="Kanthal">
      <formula>NOT(ISERROR(SEARCH("Kanthal",O3)))</formula>
    </cfRule>
    <cfRule type="containsText" dxfId="89" priority="8" operator="containsText" text="Cupronickel">
      <formula>NOT(ISERROR(SEARCH("Cupronickel",O3)))</formula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8ED23C6-4908-464D-9192-3CDCC4BA0ED7}">
          <x14:formula1>
            <xm:f>'Coils'!$E$3:$E$10</xm:f>
          </x14:formula1>
          <xm:sqref>N3:N77</xm:sqref>
        </x14:dataValidation>
        <x14:dataValidation type="list" allowBlank="1" showInputMessage="1" showErrorMessage="1" xr:uid="{F340B76C-F69F-48FF-B9E6-8ADD888080F1}">
          <x14:formula1>
            <xm:f>'Coils'!$B$3:$B$10</xm:f>
          </x14:formula1>
          <xm:sqref>O3:O77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64480-21A9-41F0-AF5D-29B5D9BAC61C}">
  <dimension ref="B2:D8"/>
  <sheetViews>
    <sheetView workbookViewId="0">
      <selection activeCell="C9" sqref="C9"/>
    </sheetView>
  </sheetViews>
  <sheetFormatPr defaultRowHeight="15" x14ac:dyDescent="0.25"/>
  <cols>
    <col min="2" max="2" width="15" customWidth="1"/>
    <col min="3" max="3" width="22.85546875" bestFit="1" customWidth="1"/>
    <col min="4" max="4" width="14" customWidth="1"/>
  </cols>
  <sheetData>
    <row r="2" spans="2:4" x14ac:dyDescent="0.25">
      <c r="B2" t="s">
        <v>209</v>
      </c>
    </row>
    <row r="4" spans="2:4" x14ac:dyDescent="0.25">
      <c r="B4" t="s">
        <v>210</v>
      </c>
      <c r="C4" t="s">
        <v>211</v>
      </c>
      <c r="D4" t="s">
        <v>212</v>
      </c>
    </row>
    <row r="5" spans="2:4" x14ac:dyDescent="0.25">
      <c r="B5">
        <v>1</v>
      </c>
      <c r="C5" t="s">
        <v>215</v>
      </c>
    </row>
    <row r="6" spans="2:4" x14ac:dyDescent="0.25">
      <c r="B6">
        <v>2</v>
      </c>
      <c r="C6" t="s">
        <v>213</v>
      </c>
    </row>
    <row r="7" spans="2:4" x14ac:dyDescent="0.25">
      <c r="B7">
        <v>3</v>
      </c>
      <c r="C7" t="s">
        <v>214</v>
      </c>
    </row>
    <row r="8" spans="2:4" x14ac:dyDescent="0.25">
      <c r="B8">
        <v>4</v>
      </c>
      <c r="C8" t="s">
        <v>216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30CC3-3111-4038-A958-2C3BC9A805FE}">
  <dimension ref="B2:AH50"/>
  <sheetViews>
    <sheetView topLeftCell="A5" zoomScaleNormal="100" workbookViewId="0">
      <selection activeCell="J34" sqref="J34"/>
    </sheetView>
  </sheetViews>
  <sheetFormatPr defaultRowHeight="15" x14ac:dyDescent="0.25"/>
  <cols>
    <col min="2" max="2" width="21.5703125" bestFit="1" customWidth="1"/>
    <col min="3" max="3" width="9" bestFit="1" customWidth="1"/>
    <col min="4" max="4" width="11.7109375" bestFit="1" customWidth="1"/>
    <col min="5" max="9" width="10.5703125" customWidth="1"/>
    <col min="10" max="10" width="12" customWidth="1"/>
    <col min="11" max="11" width="14.28515625" customWidth="1"/>
    <col min="12" max="12" width="17.85546875" customWidth="1"/>
    <col min="13" max="13" width="22.140625" customWidth="1"/>
    <col min="14" max="14" width="10.42578125" bestFit="1" customWidth="1"/>
    <col min="15" max="16" width="10.42578125" customWidth="1"/>
    <col min="17" max="17" width="11.5703125" customWidth="1"/>
    <col min="18" max="18" width="11.7109375" customWidth="1"/>
    <col min="24" max="24" width="14.42578125" customWidth="1"/>
    <col min="25" max="25" width="13.7109375" bestFit="1" customWidth="1"/>
    <col min="26" max="26" width="17.7109375" customWidth="1"/>
    <col min="27" max="27" width="17.140625" customWidth="1"/>
    <col min="30" max="30" width="15.85546875" customWidth="1"/>
    <col min="31" max="31" width="18" customWidth="1"/>
    <col min="32" max="32" width="10.5703125" customWidth="1"/>
    <col min="33" max="33" width="17" customWidth="1"/>
  </cols>
  <sheetData>
    <row r="2" spans="2:34" x14ac:dyDescent="0.25">
      <c r="B2" s="9" t="s">
        <v>23</v>
      </c>
      <c r="C2" s="9" t="s">
        <v>152</v>
      </c>
      <c r="D2" s="9" t="s">
        <v>128</v>
      </c>
      <c r="E2" s="9" t="s">
        <v>129</v>
      </c>
      <c r="F2" s="9" t="s">
        <v>130</v>
      </c>
      <c r="G2" s="9" t="s">
        <v>131</v>
      </c>
      <c r="H2" s="9" t="s">
        <v>132</v>
      </c>
      <c r="I2" s="9" t="s">
        <v>133</v>
      </c>
      <c r="J2" s="9" t="s">
        <v>25</v>
      </c>
      <c r="K2" s="9" t="s">
        <v>24</v>
      </c>
      <c r="L2" s="9" t="s">
        <v>32</v>
      </c>
      <c r="M2" s="9" t="s">
        <v>26</v>
      </c>
      <c r="N2" s="9" t="s">
        <v>135</v>
      </c>
      <c r="O2" s="9" t="s">
        <v>136</v>
      </c>
      <c r="P2" s="9" t="s">
        <v>201</v>
      </c>
      <c r="Q2" s="9" t="s">
        <v>27</v>
      </c>
      <c r="R2" s="9" t="s">
        <v>30</v>
      </c>
      <c r="S2" s="9" t="s">
        <v>112</v>
      </c>
      <c r="T2" s="9" t="s">
        <v>113</v>
      </c>
      <c r="U2" s="9" t="s">
        <v>114</v>
      </c>
      <c r="V2" s="9" t="s">
        <v>115</v>
      </c>
      <c r="W2" s="9" t="s">
        <v>116</v>
      </c>
      <c r="X2" s="9" t="s">
        <v>118</v>
      </c>
      <c r="Y2" s="9" t="s">
        <v>117</v>
      </c>
      <c r="Z2" s="9" t="s">
        <v>119</v>
      </c>
      <c r="AA2" s="9" t="s">
        <v>120</v>
      </c>
      <c r="AB2" s="9" t="s">
        <v>121</v>
      </c>
      <c r="AC2" s="9" t="s">
        <v>126</v>
      </c>
      <c r="AD2" s="9" t="s">
        <v>122</v>
      </c>
      <c r="AE2" s="9" t="s">
        <v>123</v>
      </c>
      <c r="AF2" s="9" t="s">
        <v>124</v>
      </c>
      <c r="AG2" s="9" t="s">
        <v>125</v>
      </c>
      <c r="AH2" s="9" t="s">
        <v>149</v>
      </c>
    </row>
    <row r="3" spans="2:34" x14ac:dyDescent="0.25">
      <c r="B3" s="10" t="s">
        <v>127</v>
      </c>
      <c r="C3" s="10">
        <v>2</v>
      </c>
      <c r="D3" s="10" t="s">
        <v>139</v>
      </c>
      <c r="E3" s="10" t="s">
        <v>134</v>
      </c>
      <c r="F3" s="10"/>
      <c r="G3" s="10"/>
      <c r="H3" s="10"/>
      <c r="I3" s="10"/>
      <c r="J3" s="11">
        <v>120</v>
      </c>
      <c r="K3" s="12" t="str">
        <f>_xlfn.XLOOKUP(ABS[[#This Row],[Base EU/T]],Voltage[Voltage / V],Voltage[Voltage],"",1)</f>
        <v>MV</v>
      </c>
      <c r="L3" s="18">
        <v>1.25</v>
      </c>
      <c r="M3" s="11">
        <v>1000</v>
      </c>
      <c r="N3" s="11">
        <v>288</v>
      </c>
      <c r="O3" s="11">
        <f>ABS[[#This Row],[Yield / L]]/144</f>
        <v>2</v>
      </c>
      <c r="P3" s="17">
        <f>ABS[[#This Row],[Base duration / s]]/ABS[[#This Row],[Yield / ingots]]</f>
        <v>0.625</v>
      </c>
      <c r="Q3" s="12"/>
      <c r="R3" s="12" t="str">
        <f>_xlfn.XLOOKUP(ABS[[#This Row],[Base Temperature / K]],Coils[Temperature / K],Coils[Coil],"",1)</f>
        <v>Cupronickel</v>
      </c>
      <c r="S3" s="12" t="str">
        <f>IF(ABS[[#This Row],[Base Temperature / K]]="","",_xlfn.XLOOKUP(ABS[[#This Row],[Base Temperature / K]]+(1800*1),Coils[Temperature / K],Coils[Coil],"",1))</f>
        <v>Nichrome</v>
      </c>
      <c r="T3" s="12" t="str">
        <f>IF(ABS[[#This Row],[Base Temperature / K]]="","",_xlfn.XLOOKUP(ABS[[#This Row],[Base Temperature / K]]+(1800*2),Coils[Temperature / K],Coils[Coil],"",1))</f>
        <v>HSS-G</v>
      </c>
      <c r="U3" s="12" t="str">
        <f>IF(ABS[[#This Row],[Base Temperature / K]]="","",_xlfn.XLOOKUP(ABS[[#This Row],[Base Temperature / K]]+(1800*3),Coils[Temperature / K],Coils[Coil],"",1))</f>
        <v>Naquadah</v>
      </c>
      <c r="V3" s="12" t="str">
        <f>IF(ABS[[#This Row],[Base Temperature / K]]="","",_xlfn.XLOOKUP(ABS[[#This Row],[Base Temperature / K]]+(1800*4),Coils[Temperature / K],Coils[Coil],"",1))</f>
        <v>Trinium</v>
      </c>
      <c r="W3" s="12" t="str">
        <f>IF(ABS[[#This Row],[Base Temperature / K]]="","",_xlfn.XLOOKUP(ABS[[#This Row],[Base Temperature / K]]+(1800*5),Coils[Temperature / K],Coils[Coil],"",1))</f>
        <v>Tritanium</v>
      </c>
      <c r="X3" s="12" t="str">
        <f>ABS[[#This Row],[Base voltage]]</f>
        <v>MV</v>
      </c>
      <c r="Y3" s="12" t="str">
        <f>ABS[[#This Row],[Base coils]]</f>
        <v>Cupronickel</v>
      </c>
      <c r="Z3" s="11">
        <f>IFERROR(_xlfn.XLOOKUP(ABS[[#This Row],[Coils]],Coils[Coil],Coils[Temperature / K],"",1)+((_xlfn.XLOOKUP(ABS[[#This Row],[Energy hatch]],Voltage[Voltage],Voltage[Voltage tier],"",0)-1)*100),"")</f>
        <v>1800</v>
      </c>
      <c r="AA3" s="13">
        <f>IFERROR(0.95^ROUNDDOWN((ABS[[#This Row],[Heat capacity / K]]-ABS[[#This Row],[Base Temperature / K]])/900,0),"")</f>
        <v>1</v>
      </c>
      <c r="AB3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120</v>
      </c>
      <c r="AC3" s="11">
        <f>ABS[[#This Row],[EU/t]]*4</f>
        <v>480</v>
      </c>
      <c r="AD3" s="14">
        <f>IFERROR(1/(2^ROUNDDOWN((ABS[[#This Row],[Heat capacity / K]]-ABS[[#This Row],[Base Temperature / K]])/1800,0)),"")</f>
        <v>1</v>
      </c>
      <c r="AE3" s="14">
        <f>IFERROR(1/2^(_xlfn.XLOOKUP(ABS[[#This Row],[Energy hatch]],Voltage[Voltage],Voltage[Voltage tier],"",0)-(_xlfn.XLOOKUP(ABS[[#This Row],[Base voltage]],Voltage[Voltage],Voltage[Voltage tier],"",0))),"")</f>
        <v>1</v>
      </c>
      <c r="AF3" s="15">
        <f>IFERROR(ABS[[#This Row],[Coil overclock ]]*ABS[[#This Row],[Energy overclock]],"")</f>
        <v>1</v>
      </c>
      <c r="AG3" s="16">
        <f>IFERROR(IF(ROUNDDOWN(ABS[[#This Row],[Total OC]]*ABS[[#This Row],[Base duration / s]],1)&lt;0.1,0.1,ROUNDDOWN(ABS[[#This Row],[Total OC]]*ABS[[#This Row],[Base duration / s]],1)),"")</f>
        <v>1.2</v>
      </c>
      <c r="AH3" s="19">
        <f>ABS[[#This Row],[Net duration / s]]/ABS[[#This Row],[Yield / ingots]]</f>
        <v>0.6</v>
      </c>
    </row>
    <row r="4" spans="2:34" x14ac:dyDescent="0.25">
      <c r="B4" s="10" t="s">
        <v>9</v>
      </c>
      <c r="C4" s="10">
        <v>2</v>
      </c>
      <c r="D4" s="10" t="s">
        <v>143</v>
      </c>
      <c r="E4" s="10" t="s">
        <v>138</v>
      </c>
      <c r="F4" s="10"/>
      <c r="G4" s="10"/>
      <c r="H4" s="10"/>
      <c r="I4" s="10"/>
      <c r="J4" s="11">
        <v>120</v>
      </c>
      <c r="K4" s="12" t="str">
        <f>_xlfn.XLOOKUP(ABS[[#This Row],[Base EU/T]],Voltage[Voltage / V],Voltage[Voltage],"",1)</f>
        <v>MV</v>
      </c>
      <c r="L4" s="18">
        <v>37.799999999999997</v>
      </c>
      <c r="M4" s="11">
        <v>1200</v>
      </c>
      <c r="N4" s="11">
        <v>288</v>
      </c>
      <c r="O4" s="11">
        <f>ABS[[#This Row],[Yield / L]]/144</f>
        <v>2</v>
      </c>
      <c r="P4" s="17">
        <f>ABS[[#This Row],[Base duration / s]]/ABS[[#This Row],[Yield / ingots]]</f>
        <v>18.899999999999999</v>
      </c>
      <c r="Q4" s="12"/>
      <c r="R4" s="12" t="str">
        <f>_xlfn.XLOOKUP(ABS[[#This Row],[Base Temperature / K]],Coils[Temperature / K],Coils[Coil],"",1)</f>
        <v>Cupronickel</v>
      </c>
      <c r="S4" s="12" t="str">
        <f>IF(ABS[[#This Row],[Base Temperature / K]]="","",_xlfn.XLOOKUP(ABS[[#This Row],[Base Temperature / K]]+(1800*1),Coils[Temperature / K],Coils[Coil],"",1))</f>
        <v>Nichrome</v>
      </c>
      <c r="T4" s="12" t="str">
        <f>IF(ABS[[#This Row],[Base Temperature / K]]="","",_xlfn.XLOOKUP(ABS[[#This Row],[Base Temperature / K]]+(1800*2),Coils[Temperature / K],Coils[Coil],"",1))</f>
        <v>HSS-G</v>
      </c>
      <c r="U4" s="12" t="str">
        <f>IF(ABS[[#This Row],[Base Temperature / K]]="","",_xlfn.XLOOKUP(ABS[[#This Row],[Base Temperature / K]]+(1800*3),Coils[Temperature / K],Coils[Coil],"",1))</f>
        <v>Naquadah</v>
      </c>
      <c r="V4" s="12" t="str">
        <f>IF(ABS[[#This Row],[Base Temperature / K]]="","",_xlfn.XLOOKUP(ABS[[#This Row],[Base Temperature / K]]+(1800*4),Coils[Temperature / K],Coils[Coil],"",1))</f>
        <v>Trinium</v>
      </c>
      <c r="W4" s="12" t="str">
        <f>IF(ABS[[#This Row],[Base Temperature / K]]="","",_xlfn.XLOOKUP(ABS[[#This Row],[Base Temperature / K]]+(1800*5),Coils[Temperature / K],Coils[Coil],"",1))</f>
        <v>Tritanium</v>
      </c>
      <c r="X4" s="12" t="str">
        <f>ABS[[#This Row],[Base voltage]]</f>
        <v>MV</v>
      </c>
      <c r="Y4" s="12" t="str">
        <f>ABS[[#This Row],[Base coils]]</f>
        <v>Cupronickel</v>
      </c>
      <c r="Z4" s="11">
        <f>IFERROR(_xlfn.XLOOKUP(ABS[[#This Row],[Coils]],Coils[Coil],Coils[Temperature / K],"",1)+((_xlfn.XLOOKUP(ABS[[#This Row],[Energy hatch]],Voltage[Voltage],Voltage[Voltage tier],"",0)-1)*100),"")</f>
        <v>1800</v>
      </c>
      <c r="AA4" s="13">
        <f>IFERROR(0.95^ROUNDDOWN((ABS[[#This Row],[Heat capacity / K]]-ABS[[#This Row],[Base Temperature / K]])/900,0),"")</f>
        <v>1</v>
      </c>
      <c r="AB4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120</v>
      </c>
      <c r="AC4" s="11">
        <f>ABS[[#This Row],[EU/t]]*4</f>
        <v>480</v>
      </c>
      <c r="AD4" s="14">
        <f>IFERROR(1/(2^ROUNDDOWN((ABS[[#This Row],[Heat capacity / K]]-ABS[[#This Row],[Base Temperature / K]])/1800,0)),"")</f>
        <v>1</v>
      </c>
      <c r="AE4" s="14">
        <f>IFERROR(1/2^(_xlfn.XLOOKUP(ABS[[#This Row],[Energy hatch]],Voltage[Voltage],Voltage[Voltage tier],"",0)-(_xlfn.XLOOKUP(ABS[[#This Row],[Base voltage]],Voltage[Voltage],Voltage[Voltage tier],"",0))),"")</f>
        <v>1</v>
      </c>
      <c r="AF4" s="15">
        <f>IFERROR(ABS[[#This Row],[Coil overclock ]]*ABS[[#This Row],[Energy overclock]],"")</f>
        <v>1</v>
      </c>
      <c r="AG4" s="16">
        <f>IFERROR(IF(ROUNDDOWN(ABS[[#This Row],[Total OC]]*ABS[[#This Row],[Base duration / s]],1)&lt;0.1,0.1,ROUNDDOWN(ABS[[#This Row],[Total OC]]*ABS[[#This Row],[Base duration / s]],1)),"")</f>
        <v>37.799999999999997</v>
      </c>
      <c r="AH4" s="19">
        <f>ABS[[#This Row],[Net duration / s]]/ABS[[#This Row],[Yield / ingots]]</f>
        <v>18.899999999999999</v>
      </c>
    </row>
    <row r="5" spans="2:34" x14ac:dyDescent="0.25">
      <c r="B5" s="10" t="s">
        <v>153</v>
      </c>
      <c r="C5" s="10">
        <v>2</v>
      </c>
      <c r="D5" s="10" t="s">
        <v>154</v>
      </c>
      <c r="E5" s="10" t="s">
        <v>155</v>
      </c>
      <c r="F5" s="10"/>
      <c r="G5" s="10"/>
      <c r="H5" s="10"/>
      <c r="I5" s="10"/>
      <c r="J5" s="11">
        <v>120</v>
      </c>
      <c r="K5" s="12" t="str">
        <f>_xlfn.XLOOKUP(ABS[[#This Row],[Base EU/T]],Voltage[Voltage / V],Voltage[Voltage],"",1)</f>
        <v>MV</v>
      </c>
      <c r="L5" s="18">
        <v>90</v>
      </c>
      <c r="M5" s="11">
        <v>1200</v>
      </c>
      <c r="N5" s="11">
        <v>288</v>
      </c>
      <c r="O5" s="11">
        <f>ABS[[#This Row],[Yield / L]]/144</f>
        <v>2</v>
      </c>
      <c r="P5" s="17">
        <f>ABS[[#This Row],[Base duration / s]]/ABS[[#This Row],[Yield / ingots]]</f>
        <v>45</v>
      </c>
      <c r="Q5" s="12"/>
      <c r="R5" s="12" t="str">
        <f>_xlfn.XLOOKUP(ABS[[#This Row],[Base Temperature / K]],Coils[Temperature / K],Coils[Coil],"",1)</f>
        <v>Cupronickel</v>
      </c>
      <c r="S5" s="12" t="str">
        <f>IF(ABS[[#This Row],[Base Temperature / K]]="","",_xlfn.XLOOKUP(ABS[[#This Row],[Base Temperature / K]]+(1800*1),Coils[Temperature / K],Coils[Coil],"",1))</f>
        <v>Nichrome</v>
      </c>
      <c r="T5" s="12" t="str">
        <f>IF(ABS[[#This Row],[Base Temperature / K]]="","",_xlfn.XLOOKUP(ABS[[#This Row],[Base Temperature / K]]+(1800*2),Coils[Temperature / K],Coils[Coil],"",1))</f>
        <v>HSS-G</v>
      </c>
      <c r="U5" s="12" t="str">
        <f>IF(ABS[[#This Row],[Base Temperature / K]]="","",_xlfn.XLOOKUP(ABS[[#This Row],[Base Temperature / K]]+(1800*3),Coils[Temperature / K],Coils[Coil],"",1))</f>
        <v>Naquadah</v>
      </c>
      <c r="V5" s="12" t="str">
        <f>IF(ABS[[#This Row],[Base Temperature / K]]="","",_xlfn.XLOOKUP(ABS[[#This Row],[Base Temperature / K]]+(1800*4),Coils[Temperature / K],Coils[Coil],"",1))</f>
        <v>Trinium</v>
      </c>
      <c r="W5" s="12" t="str">
        <f>IF(ABS[[#This Row],[Base Temperature / K]]="","",_xlfn.XLOOKUP(ABS[[#This Row],[Base Temperature / K]]+(1800*5),Coils[Temperature / K],Coils[Coil],"",1))</f>
        <v>Tritanium</v>
      </c>
      <c r="X5" s="12" t="str">
        <f>ABS[[#This Row],[Base voltage]]</f>
        <v>MV</v>
      </c>
      <c r="Y5" s="12" t="str">
        <f>ABS[[#This Row],[Base coils]]</f>
        <v>Cupronickel</v>
      </c>
      <c r="Z5" s="11">
        <f>IFERROR(_xlfn.XLOOKUP(ABS[[#This Row],[Coils]],Coils[Coil],Coils[Temperature / K],"",1)+((_xlfn.XLOOKUP(ABS[[#This Row],[Energy hatch]],Voltage[Voltage],Voltage[Voltage tier],"",0)-1)*100),"")</f>
        <v>1800</v>
      </c>
      <c r="AA5" s="13">
        <f>IFERROR(0.95^ROUNDDOWN((ABS[[#This Row],[Heat capacity / K]]-ABS[[#This Row],[Base Temperature / K]])/900,0),"")</f>
        <v>1</v>
      </c>
      <c r="AB5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120</v>
      </c>
      <c r="AC5" s="11">
        <f>ABS[[#This Row],[EU/t]]*4</f>
        <v>480</v>
      </c>
      <c r="AD5" s="14">
        <f>IFERROR(1/(2^ROUNDDOWN((ABS[[#This Row],[Heat capacity / K]]-ABS[[#This Row],[Base Temperature / K]])/1800,0)),"")</f>
        <v>1</v>
      </c>
      <c r="AE5" s="14">
        <f>IFERROR(1/2^(_xlfn.XLOOKUP(ABS[[#This Row],[Energy hatch]],Voltage[Voltage],Voltage[Voltage tier],"",0)-(_xlfn.XLOOKUP(ABS[[#This Row],[Base voltage]],Voltage[Voltage],Voltage[Voltage tier],"",0))),"")</f>
        <v>1</v>
      </c>
      <c r="AF5" s="15">
        <f>IFERROR(ABS[[#This Row],[Coil overclock ]]*ABS[[#This Row],[Energy overclock]],"")</f>
        <v>1</v>
      </c>
      <c r="AG5" s="16">
        <f>IFERROR(IF(ROUNDDOWN(ABS[[#This Row],[Total OC]]*ABS[[#This Row],[Base duration / s]],1)&lt;0.1,0.1,ROUNDDOWN(ABS[[#This Row],[Total OC]]*ABS[[#This Row],[Base duration / s]],1)),"")</f>
        <v>90</v>
      </c>
      <c r="AH5" s="19">
        <f>ABS[[#This Row],[Net duration / s]]/ABS[[#This Row],[Yield / ingots]]</f>
        <v>45</v>
      </c>
    </row>
    <row r="6" spans="2:34" x14ac:dyDescent="0.25">
      <c r="B6" s="10" t="s">
        <v>144</v>
      </c>
      <c r="C6" s="10">
        <v>2</v>
      </c>
      <c r="D6" s="10" t="s">
        <v>145</v>
      </c>
      <c r="E6" s="10" t="s">
        <v>146</v>
      </c>
      <c r="F6" s="10"/>
      <c r="G6" s="10"/>
      <c r="H6" s="10"/>
      <c r="I6" s="10"/>
      <c r="J6" s="11">
        <v>120</v>
      </c>
      <c r="K6" s="12" t="str">
        <f>_xlfn.XLOOKUP(ABS[[#This Row],[Base EU/T]],Voltage[Voltage / V],Voltage[Voltage],"",1)</f>
        <v>MV</v>
      </c>
      <c r="L6" s="18">
        <v>45</v>
      </c>
      <c r="M6" s="11">
        <v>1350</v>
      </c>
      <c r="N6" s="11">
        <v>288</v>
      </c>
      <c r="O6" s="11">
        <f>ABS[[#This Row],[Yield / L]]/144</f>
        <v>2</v>
      </c>
      <c r="P6" s="17">
        <f>ABS[[#This Row],[Base duration / s]]/ABS[[#This Row],[Yield / ingots]]</f>
        <v>22.5</v>
      </c>
      <c r="Q6" s="12"/>
      <c r="R6" s="12" t="str">
        <f>_xlfn.XLOOKUP(ABS[[#This Row],[Base Temperature / K]],Coils[Temperature / K],Coils[Coil],"",1)</f>
        <v>Cupronickel</v>
      </c>
      <c r="S6" s="12" t="str">
        <f>IF(ABS[[#This Row],[Base Temperature / K]]="","",_xlfn.XLOOKUP(ABS[[#This Row],[Base Temperature / K]]+(1800*1),Coils[Temperature / K],Coils[Coil],"",1))</f>
        <v>Nichrome</v>
      </c>
      <c r="T6" s="12" t="str">
        <f>IF(ABS[[#This Row],[Base Temperature / K]]="","",_xlfn.XLOOKUP(ABS[[#This Row],[Base Temperature / K]]+(1800*2),Coils[Temperature / K],Coils[Coil],"",1))</f>
        <v>HSS-G</v>
      </c>
      <c r="U6" s="12" t="str">
        <f>IF(ABS[[#This Row],[Base Temperature / K]]="","",_xlfn.XLOOKUP(ABS[[#This Row],[Base Temperature / K]]+(1800*3),Coils[Temperature / K],Coils[Coil],"",1))</f>
        <v>Naquadah</v>
      </c>
      <c r="V6" s="12" t="str">
        <f>IF(ABS[[#This Row],[Base Temperature / K]]="","",_xlfn.XLOOKUP(ABS[[#This Row],[Base Temperature / K]]+(1800*4),Coils[Temperature / K],Coils[Coil],"",1))</f>
        <v>Trinium</v>
      </c>
      <c r="W6" s="12" t="str">
        <f>IF(ABS[[#This Row],[Base Temperature / K]]="","",_xlfn.XLOOKUP(ABS[[#This Row],[Base Temperature / K]]+(1800*5),Coils[Temperature / K],Coils[Coil],"",1))</f>
        <v>Tritanium</v>
      </c>
      <c r="X6" s="12" t="str">
        <f>ABS[[#This Row],[Base voltage]]</f>
        <v>MV</v>
      </c>
      <c r="Y6" s="12" t="str">
        <f>ABS[[#This Row],[Base coils]]</f>
        <v>Cupronickel</v>
      </c>
      <c r="Z6" s="11">
        <f>IFERROR(_xlfn.XLOOKUP(ABS[[#This Row],[Coils]],Coils[Coil],Coils[Temperature / K],"",1)+((_xlfn.XLOOKUP(ABS[[#This Row],[Energy hatch]],Voltage[Voltage],Voltage[Voltage tier],"",0)-1)*100),"")</f>
        <v>1800</v>
      </c>
      <c r="AA6" s="13">
        <f>IFERROR(0.95^ROUNDDOWN((ABS[[#This Row],[Heat capacity / K]]-ABS[[#This Row],[Base Temperature / K]])/900,0),"")</f>
        <v>1</v>
      </c>
      <c r="AB6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120</v>
      </c>
      <c r="AC6" s="11">
        <f>ABS[[#This Row],[EU/t]]*4</f>
        <v>480</v>
      </c>
      <c r="AD6" s="14">
        <f>IFERROR(1/(2^ROUNDDOWN((ABS[[#This Row],[Heat capacity / K]]-ABS[[#This Row],[Base Temperature / K]])/1800,0)),"")</f>
        <v>1</v>
      </c>
      <c r="AE6" s="14">
        <f>IFERROR(1/2^(_xlfn.XLOOKUP(ABS[[#This Row],[Energy hatch]],Voltage[Voltage],Voltage[Voltage tier],"",0)-(_xlfn.XLOOKUP(ABS[[#This Row],[Base voltage]],Voltage[Voltage],Voltage[Voltage tier],"",0))),"")</f>
        <v>1</v>
      </c>
      <c r="AF6" s="15">
        <f>IFERROR(ABS[[#This Row],[Coil overclock ]]*ABS[[#This Row],[Energy overclock]],"")</f>
        <v>1</v>
      </c>
      <c r="AG6" s="16">
        <f>IFERROR(IF(ROUNDDOWN(ABS[[#This Row],[Total OC]]*ABS[[#This Row],[Base duration / s]],1)&lt;0.1,0.1,ROUNDDOWN(ABS[[#This Row],[Total OC]]*ABS[[#This Row],[Base duration / s]],1)),"")</f>
        <v>45</v>
      </c>
      <c r="AH6" s="19">
        <f>ABS[[#This Row],[Net duration / s]]/ABS[[#This Row],[Yield / ingots]]</f>
        <v>22.5</v>
      </c>
    </row>
    <row r="7" spans="2:34" x14ac:dyDescent="0.25">
      <c r="B7" s="10" t="s">
        <v>56</v>
      </c>
      <c r="C7" s="10">
        <v>2</v>
      </c>
      <c r="D7" s="10" t="s">
        <v>167</v>
      </c>
      <c r="E7" s="10" t="s">
        <v>147</v>
      </c>
      <c r="F7" s="10"/>
      <c r="G7" s="10"/>
      <c r="H7" s="10"/>
      <c r="I7" s="10"/>
      <c r="J7" s="11">
        <v>120</v>
      </c>
      <c r="K7" s="12" t="str">
        <f>_xlfn.XLOOKUP(ABS[[#This Row],[Base EU/T]],Voltage[Voltage / V],Voltage[Voltage],"",1)</f>
        <v>MV</v>
      </c>
      <c r="L7" s="18">
        <v>187.5</v>
      </c>
      <c r="M7" s="11">
        <v>1600</v>
      </c>
      <c r="N7" s="11">
        <v>720</v>
      </c>
      <c r="O7" s="11">
        <f>ABS[[#This Row],[Yield / L]]/144</f>
        <v>5</v>
      </c>
      <c r="P7" s="17">
        <f>ABS[[#This Row],[Base duration / s]]/ABS[[#This Row],[Yield / ingots]]</f>
        <v>37.5</v>
      </c>
      <c r="Q7" s="12"/>
      <c r="R7" s="12" t="str">
        <f>_xlfn.XLOOKUP(ABS[[#This Row],[Base Temperature / K]],Coils[Temperature / K],Coils[Coil],"",1)</f>
        <v>Cupronickel</v>
      </c>
      <c r="S7" s="12" t="str">
        <f>IF(ABS[[#This Row],[Base Temperature / K]]="","",_xlfn.XLOOKUP(ABS[[#This Row],[Base Temperature / K]]+(1800*1),Coils[Temperature / K],Coils[Coil],"",1))</f>
        <v>Nichrome</v>
      </c>
      <c r="T7" s="12" t="str">
        <f>IF(ABS[[#This Row],[Base Temperature / K]]="","",_xlfn.XLOOKUP(ABS[[#This Row],[Base Temperature / K]]+(1800*2),Coils[Temperature / K],Coils[Coil],"",1))</f>
        <v>HSS-G</v>
      </c>
      <c r="U7" s="12" t="str">
        <f>IF(ABS[[#This Row],[Base Temperature / K]]="","",_xlfn.XLOOKUP(ABS[[#This Row],[Base Temperature / K]]+(1800*3),Coils[Temperature / K],Coils[Coil],"",1))</f>
        <v>Naquadah</v>
      </c>
      <c r="V7" s="12" t="str">
        <f>IF(ABS[[#This Row],[Base Temperature / K]]="","",_xlfn.XLOOKUP(ABS[[#This Row],[Base Temperature / K]]+(1800*4),Coils[Temperature / K],Coils[Coil],"",1))</f>
        <v>Trinium</v>
      </c>
      <c r="W7" s="12" t="str">
        <f>IF(ABS[[#This Row],[Base Temperature / K]]="","",_xlfn.XLOOKUP(ABS[[#This Row],[Base Temperature / K]]+(1800*5),Coils[Temperature / K],Coils[Coil],"",1))</f>
        <v>Tritanium</v>
      </c>
      <c r="X7" s="12" t="str">
        <f>ABS[[#This Row],[Base voltage]]</f>
        <v>MV</v>
      </c>
      <c r="Y7" s="12" t="str">
        <f>ABS[[#This Row],[Base coils]]</f>
        <v>Cupronickel</v>
      </c>
      <c r="Z7" s="11">
        <f>IFERROR(_xlfn.XLOOKUP(ABS[[#This Row],[Coils]],Coils[Coil],Coils[Temperature / K],"",1)+((_xlfn.XLOOKUP(ABS[[#This Row],[Energy hatch]],Voltage[Voltage],Voltage[Voltage tier],"",0)-1)*100),"")</f>
        <v>1800</v>
      </c>
      <c r="AA7" s="13">
        <f>IFERROR(0.95^ROUNDDOWN((ABS[[#This Row],[Heat capacity / K]]-ABS[[#This Row],[Base Temperature / K]])/900,0),"")</f>
        <v>1</v>
      </c>
      <c r="AB7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120</v>
      </c>
      <c r="AC7" s="11">
        <f>ABS[[#This Row],[EU/t]]*4</f>
        <v>480</v>
      </c>
      <c r="AD7" s="14">
        <f>IFERROR(1/(2^ROUNDDOWN((ABS[[#This Row],[Heat capacity / K]]-ABS[[#This Row],[Base Temperature / K]])/1800,0)),"")</f>
        <v>1</v>
      </c>
      <c r="AE7" s="14">
        <f>IFERROR(1/2^(_xlfn.XLOOKUP(ABS[[#This Row],[Energy hatch]],Voltage[Voltage],Voltage[Voltage tier],"",0)-(_xlfn.XLOOKUP(ABS[[#This Row],[Base voltage]],Voltage[Voltage],Voltage[Voltage tier],"",0))),"")</f>
        <v>1</v>
      </c>
      <c r="AF7" s="15">
        <f>IFERROR(ABS[[#This Row],[Coil overclock ]]*ABS[[#This Row],[Energy overclock]],"")</f>
        <v>1</v>
      </c>
      <c r="AG7" s="16">
        <f>IFERROR(IF(ROUNDDOWN(ABS[[#This Row],[Total OC]]*ABS[[#This Row],[Base duration / s]],1)&lt;0.1,0.1,ROUNDDOWN(ABS[[#This Row],[Total OC]]*ABS[[#This Row],[Base duration / s]],1)),"")</f>
        <v>187.5</v>
      </c>
      <c r="AH7" s="19">
        <f>ABS[[#This Row],[Net duration / s]]/ABS[[#This Row],[Yield / ingots]]</f>
        <v>37.5</v>
      </c>
    </row>
    <row r="8" spans="2:34" x14ac:dyDescent="0.25">
      <c r="B8" s="10" t="s">
        <v>55</v>
      </c>
      <c r="C8" s="10">
        <v>2</v>
      </c>
      <c r="D8" s="10" t="s">
        <v>167</v>
      </c>
      <c r="E8" s="10" t="s">
        <v>168</v>
      </c>
      <c r="F8" s="10"/>
      <c r="G8" s="10"/>
      <c r="H8" s="10"/>
      <c r="I8" s="10"/>
      <c r="J8" s="11">
        <v>120</v>
      </c>
      <c r="K8" s="12" t="str">
        <f>_xlfn.XLOOKUP(ABS[[#This Row],[Base EU/T]],Voltage[Voltage / V],Voltage[Voltage],"",1)</f>
        <v>MV</v>
      </c>
      <c r="L8" s="18">
        <v>187.5</v>
      </c>
      <c r="M8" s="11">
        <v>1700</v>
      </c>
      <c r="N8" s="11">
        <v>720</v>
      </c>
      <c r="O8" s="11">
        <f>ABS[[#This Row],[Yield / L]]/144</f>
        <v>5</v>
      </c>
      <c r="P8" s="17">
        <f>ABS[[#This Row],[Base duration / s]]/ABS[[#This Row],[Yield / ingots]]</f>
        <v>37.5</v>
      </c>
      <c r="Q8" s="12"/>
      <c r="R8" s="12" t="str">
        <f>_xlfn.XLOOKUP(ABS[[#This Row],[Base Temperature / K]],Coils[Temperature / K],Coils[Coil],"",1)</f>
        <v>Cupronickel</v>
      </c>
      <c r="S8" s="12" t="str">
        <f>IF(ABS[[#This Row],[Base Temperature / K]]="","",_xlfn.XLOOKUP(ABS[[#This Row],[Base Temperature / K]]+(1800*1),Coils[Temperature / K],Coils[Coil],"",1))</f>
        <v>Nichrome</v>
      </c>
      <c r="T8" s="12" t="str">
        <f>IF(ABS[[#This Row],[Base Temperature / K]]="","",_xlfn.XLOOKUP(ABS[[#This Row],[Base Temperature / K]]+(1800*2),Coils[Temperature / K],Coils[Coil],"",1))</f>
        <v>HSS-G</v>
      </c>
      <c r="U8" s="12" t="str">
        <f>IF(ABS[[#This Row],[Base Temperature / K]]="","",_xlfn.XLOOKUP(ABS[[#This Row],[Base Temperature / K]]+(1800*3),Coils[Temperature / K],Coils[Coil],"",1))</f>
        <v>Naquadah</v>
      </c>
      <c r="V8" s="12" t="str">
        <f>IF(ABS[[#This Row],[Base Temperature / K]]="","",_xlfn.XLOOKUP(ABS[[#This Row],[Base Temperature / K]]+(1800*4),Coils[Temperature / K],Coils[Coil],"",1))</f>
        <v>Trinium</v>
      </c>
      <c r="W8" s="12" t="str">
        <f>IF(ABS[[#This Row],[Base Temperature / K]]="","",_xlfn.XLOOKUP(ABS[[#This Row],[Base Temperature / K]]+(1800*5),Coils[Temperature / K],Coils[Coil],"",1))</f>
        <v>Tritanium</v>
      </c>
      <c r="X8" s="12" t="str">
        <f>ABS[[#This Row],[Base voltage]]</f>
        <v>MV</v>
      </c>
      <c r="Y8" s="12" t="str">
        <f>ABS[[#This Row],[Base coils]]</f>
        <v>Cupronickel</v>
      </c>
      <c r="Z8" s="11">
        <f>IFERROR(_xlfn.XLOOKUP(ABS[[#This Row],[Coils]],Coils[Coil],Coils[Temperature / K],"",1)+((_xlfn.XLOOKUP(ABS[[#This Row],[Energy hatch]],Voltage[Voltage],Voltage[Voltage tier],"",0)-1)*100),"")</f>
        <v>1800</v>
      </c>
      <c r="AA8" s="13">
        <f>IFERROR(0.95^ROUNDDOWN((ABS[[#This Row],[Heat capacity / K]]-ABS[[#This Row],[Base Temperature / K]])/900,0),"")</f>
        <v>1</v>
      </c>
      <c r="AB8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120</v>
      </c>
      <c r="AC8" s="11">
        <f>ABS[[#This Row],[EU/t]]*4</f>
        <v>480</v>
      </c>
      <c r="AD8" s="14">
        <f>IFERROR(1/(2^ROUNDDOWN((ABS[[#This Row],[Heat capacity / K]]-ABS[[#This Row],[Base Temperature / K]])/1800,0)),"")</f>
        <v>1</v>
      </c>
      <c r="AE8" s="14">
        <f>IFERROR(1/2^(_xlfn.XLOOKUP(ABS[[#This Row],[Energy hatch]],Voltage[Voltage],Voltage[Voltage tier],"",0)-(_xlfn.XLOOKUP(ABS[[#This Row],[Base voltage]],Voltage[Voltage],Voltage[Voltage tier],"",0))),"")</f>
        <v>1</v>
      </c>
      <c r="AF8" s="15">
        <f>IFERROR(ABS[[#This Row],[Coil overclock ]]*ABS[[#This Row],[Energy overclock]],"")</f>
        <v>1</v>
      </c>
      <c r="AG8" s="16">
        <f>IFERROR(IF(ROUNDDOWN(ABS[[#This Row],[Total OC]]*ABS[[#This Row],[Base duration / s]],1)&lt;0.1,0.1,ROUNDDOWN(ABS[[#This Row],[Total OC]]*ABS[[#This Row],[Base duration / s]],1)),"")</f>
        <v>187.5</v>
      </c>
      <c r="AH8" s="19">
        <f>ABS[[#This Row],[Net duration / s]]/ABS[[#This Row],[Yield / ingots]]</f>
        <v>37.5</v>
      </c>
    </row>
    <row r="9" spans="2:34" x14ac:dyDescent="0.25">
      <c r="B9" s="10" t="s">
        <v>156</v>
      </c>
      <c r="C9" s="10">
        <v>2</v>
      </c>
      <c r="D9" s="10" t="s">
        <v>157</v>
      </c>
      <c r="E9" s="10" t="s">
        <v>158</v>
      </c>
      <c r="F9" s="10"/>
      <c r="G9" s="10"/>
      <c r="H9" s="10"/>
      <c r="I9" s="10"/>
      <c r="J9" s="11">
        <v>1920</v>
      </c>
      <c r="K9" s="12" t="str">
        <f>_xlfn.XLOOKUP(ABS[[#This Row],[Base EU/T]],Voltage[Voltage / V],Voltage[Voltage],"",1)</f>
        <v>EV</v>
      </c>
      <c r="L9" s="18">
        <v>90</v>
      </c>
      <c r="M9" s="11">
        <v>2300</v>
      </c>
      <c r="N9" s="11">
        <v>432</v>
      </c>
      <c r="O9" s="11">
        <f>ABS[[#This Row],[Yield / L]]/144</f>
        <v>3</v>
      </c>
      <c r="P9" s="17">
        <f>ABS[[#This Row],[Base duration / s]]/ABS[[#This Row],[Yield / ingots]]</f>
        <v>30</v>
      </c>
      <c r="Q9" s="12"/>
      <c r="R9" s="12" t="str">
        <f>_xlfn.XLOOKUP(ABS[[#This Row],[Base Temperature / K]],Coils[Temperature / K],Coils[Coil],"",1)</f>
        <v>Kanthal</v>
      </c>
      <c r="S9" s="12" t="str">
        <f>IF(ABS[[#This Row],[Base Temperature / K]]="","",_xlfn.XLOOKUP(ABS[[#This Row],[Base Temperature / K]]+(1800*1),Coils[Temperature / K],Coils[Coil],"",1))</f>
        <v>Tungstensteel</v>
      </c>
      <c r="T9" s="12" t="str">
        <f>IF(ABS[[#This Row],[Base Temperature / K]]="","",_xlfn.XLOOKUP(ABS[[#This Row],[Base Temperature / K]]+(1800*2),Coils[Temperature / K],Coils[Coil],"",1))</f>
        <v>Naquadah</v>
      </c>
      <c r="U9" s="12" t="str">
        <f>IF(ABS[[#This Row],[Base Temperature / K]]="","",_xlfn.XLOOKUP(ABS[[#This Row],[Base Temperature / K]]+(1800*3),Coils[Temperature / K],Coils[Coil],"",1))</f>
        <v>Trinium</v>
      </c>
      <c r="V9" s="12" t="str">
        <f>IF(ABS[[#This Row],[Base Temperature / K]]="","",_xlfn.XLOOKUP(ABS[[#This Row],[Base Temperature / K]]+(1800*4),Coils[Temperature / K],Coils[Coil],"",1))</f>
        <v>Tritanium</v>
      </c>
      <c r="W9" s="12" t="str">
        <f>IF(ABS[[#This Row],[Base Temperature / K]]="","",_xlfn.XLOOKUP(ABS[[#This Row],[Base Temperature / K]]+(1800*5),Coils[Temperature / K],Coils[Coil],"",1))</f>
        <v/>
      </c>
      <c r="X9" s="12" t="str">
        <f>ABS[[#This Row],[Base voltage]]</f>
        <v>EV</v>
      </c>
      <c r="Y9" s="12" t="str">
        <f>ABS[[#This Row],[Base coils]]</f>
        <v>Kanthal</v>
      </c>
      <c r="Z9" s="11">
        <f>IFERROR(_xlfn.XLOOKUP(ABS[[#This Row],[Coils]],Coils[Coil],Coils[Temperature / K],"",1)+((_xlfn.XLOOKUP(ABS[[#This Row],[Energy hatch]],Voltage[Voltage],Voltage[Voltage tier],"",0)-1)*100),"")</f>
        <v>2900</v>
      </c>
      <c r="AA9" s="13">
        <f>IFERROR(0.95^ROUNDDOWN((ABS[[#This Row],[Heat capacity / K]]-ABS[[#This Row],[Base Temperature / K]])/900,0),"")</f>
        <v>1</v>
      </c>
      <c r="AB9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1920</v>
      </c>
      <c r="AC9" s="11">
        <f>ABS[[#This Row],[EU/t]]*4</f>
        <v>7680</v>
      </c>
      <c r="AD9" s="14">
        <f>IFERROR(1/(2^ROUNDDOWN((ABS[[#This Row],[Heat capacity / K]]-ABS[[#This Row],[Base Temperature / K]])/1800,0)),"")</f>
        <v>1</v>
      </c>
      <c r="AE9" s="14">
        <f>IFERROR(1/2^(_xlfn.XLOOKUP(ABS[[#This Row],[Energy hatch]],Voltage[Voltage],Voltage[Voltage tier],"",0)-(_xlfn.XLOOKUP(ABS[[#This Row],[Base voltage]],Voltage[Voltage],Voltage[Voltage tier],"",0))),"")</f>
        <v>1</v>
      </c>
      <c r="AF9" s="15">
        <f>IFERROR(ABS[[#This Row],[Coil overclock ]]*ABS[[#This Row],[Energy overclock]],"")</f>
        <v>1</v>
      </c>
      <c r="AG9" s="16">
        <f>IFERROR(IF(ROUNDDOWN(ABS[[#This Row],[Total OC]]*ABS[[#This Row],[Base duration / s]],1)&lt;0.1,0.1,ROUNDDOWN(ABS[[#This Row],[Total OC]]*ABS[[#This Row],[Base duration / s]],1)),"")</f>
        <v>90</v>
      </c>
      <c r="AH9" s="19">
        <f>ABS[[#This Row],[Net duration / s]]/ABS[[#This Row],[Yield / ingots]]</f>
        <v>30</v>
      </c>
    </row>
    <row r="10" spans="2:34" x14ac:dyDescent="0.25">
      <c r="B10" s="10" t="s">
        <v>10</v>
      </c>
      <c r="C10" s="10">
        <v>2</v>
      </c>
      <c r="D10" s="10" t="s">
        <v>162</v>
      </c>
      <c r="E10" s="10" t="s">
        <v>163</v>
      </c>
      <c r="F10" s="10"/>
      <c r="G10" s="10"/>
      <c r="H10" s="10"/>
      <c r="I10" s="10"/>
      <c r="J10" s="11">
        <v>480</v>
      </c>
      <c r="K10" s="12" t="str">
        <f>_xlfn.XLOOKUP(ABS[[#This Row],[Base EU/T]],Voltage[Voltage / V],Voltage[Voltage],"",1)</f>
        <v>HV</v>
      </c>
      <c r="L10" s="18">
        <v>112.5</v>
      </c>
      <c r="M10" s="11">
        <v>2500</v>
      </c>
      <c r="N10" s="11">
        <v>432</v>
      </c>
      <c r="O10" s="11">
        <f>ABS[[#This Row],[Yield / L]]/144</f>
        <v>3</v>
      </c>
      <c r="P10" s="17">
        <f>ABS[[#This Row],[Base duration / s]]/ABS[[#This Row],[Yield / ingots]]</f>
        <v>37.5</v>
      </c>
      <c r="Q10" s="12"/>
      <c r="R10" s="12" t="str">
        <f>_xlfn.XLOOKUP(ABS[[#This Row],[Base Temperature / K]],Coils[Temperature / K],Coils[Coil],"",1)</f>
        <v>Kanthal</v>
      </c>
      <c r="S10" s="12" t="str">
        <f>IF(ABS[[#This Row],[Base Temperature / K]]="","",_xlfn.XLOOKUP(ABS[[#This Row],[Base Temperature / K]]+(1800*1),Coils[Temperature / K],Coils[Coil],"",1))</f>
        <v>Tungstensteel</v>
      </c>
      <c r="T10" s="12" t="str">
        <f>IF(ABS[[#This Row],[Base Temperature / K]]="","",_xlfn.XLOOKUP(ABS[[#This Row],[Base Temperature / K]]+(1800*2),Coils[Temperature / K],Coils[Coil],"",1))</f>
        <v>Naquadah</v>
      </c>
      <c r="U10" s="12" t="str">
        <f>IF(ABS[[#This Row],[Base Temperature / K]]="","",_xlfn.XLOOKUP(ABS[[#This Row],[Base Temperature / K]]+(1800*3),Coils[Temperature / K],Coils[Coil],"",1))</f>
        <v>Trinium</v>
      </c>
      <c r="V10" s="12" t="str">
        <f>IF(ABS[[#This Row],[Base Temperature / K]]="","",_xlfn.XLOOKUP(ABS[[#This Row],[Base Temperature / K]]+(1800*4),Coils[Temperature / K],Coils[Coil],"",1))</f>
        <v>Tritanium</v>
      </c>
      <c r="W10" s="12" t="str">
        <f>IF(ABS[[#This Row],[Base Temperature / K]]="","",_xlfn.XLOOKUP(ABS[[#This Row],[Base Temperature / K]]+(1800*5),Coils[Temperature / K],Coils[Coil],"",1))</f>
        <v/>
      </c>
      <c r="X10" s="12" t="str">
        <f>ABS[[#This Row],[Base voltage]]</f>
        <v>HV</v>
      </c>
      <c r="Y10" s="12" t="str">
        <f>ABS[[#This Row],[Base coils]]</f>
        <v>Kanthal</v>
      </c>
      <c r="Z10" s="11">
        <f>IFERROR(_xlfn.XLOOKUP(ABS[[#This Row],[Coils]],Coils[Coil],Coils[Temperature / K],"",1)+((_xlfn.XLOOKUP(ABS[[#This Row],[Energy hatch]],Voltage[Voltage],Voltage[Voltage tier],"",0)-1)*100),"")</f>
        <v>2800</v>
      </c>
      <c r="AA10" s="13">
        <f>IFERROR(0.95^ROUNDDOWN((ABS[[#This Row],[Heat capacity / K]]-ABS[[#This Row],[Base Temperature / K]])/900,0),"")</f>
        <v>1</v>
      </c>
      <c r="AB10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480</v>
      </c>
      <c r="AC10" s="11">
        <f>ABS[[#This Row],[EU/t]]*4</f>
        <v>1920</v>
      </c>
      <c r="AD10" s="14">
        <f>IFERROR(1/(2^ROUNDDOWN((ABS[[#This Row],[Heat capacity / K]]-ABS[[#This Row],[Base Temperature / K]])/1800,0)),"")</f>
        <v>1</v>
      </c>
      <c r="AE10" s="14">
        <f>IFERROR(1/2^(_xlfn.XLOOKUP(ABS[[#This Row],[Energy hatch]],Voltage[Voltage],Voltage[Voltage tier],"",0)-(_xlfn.XLOOKUP(ABS[[#This Row],[Base voltage]],Voltage[Voltage],Voltage[Voltage tier],"",0))),"")</f>
        <v>1</v>
      </c>
      <c r="AF10" s="15">
        <f>IFERROR(ABS[[#This Row],[Coil overclock ]]*ABS[[#This Row],[Energy overclock]],"")</f>
        <v>1</v>
      </c>
      <c r="AG10" s="16">
        <f>IFERROR(IF(ROUNDDOWN(ABS[[#This Row],[Total OC]]*ABS[[#This Row],[Base duration / s]],1)&lt;0.1,0.1,ROUNDDOWN(ABS[[#This Row],[Total OC]]*ABS[[#This Row],[Base duration / s]],1)),"")</f>
        <v>112.5</v>
      </c>
      <c r="AH10" s="19">
        <f>ABS[[#This Row],[Net duration / s]]/ABS[[#This Row],[Yield / ingots]]</f>
        <v>37.5</v>
      </c>
    </row>
    <row r="11" spans="2:34" x14ac:dyDescent="0.25">
      <c r="B11" s="10" t="s">
        <v>78</v>
      </c>
      <c r="C11" s="10">
        <v>2</v>
      </c>
      <c r="D11" s="10" t="s">
        <v>169</v>
      </c>
      <c r="E11" s="10" t="s">
        <v>94</v>
      </c>
      <c r="F11" s="10"/>
      <c r="G11" s="10"/>
      <c r="H11" s="10"/>
      <c r="I11" s="10"/>
      <c r="J11" s="11">
        <v>480</v>
      </c>
      <c r="K11" s="12" t="str">
        <f>_xlfn.XLOOKUP(ABS[[#This Row],[Base EU/T]],Voltage[Voltage / V],Voltage[Voltage],"",1)</f>
        <v>HV</v>
      </c>
      <c r="L11" s="18">
        <v>243.75</v>
      </c>
      <c r="M11" s="11">
        <v>2700</v>
      </c>
      <c r="N11" s="11">
        <v>720</v>
      </c>
      <c r="O11" s="11">
        <f>ABS[[#This Row],[Yield / L]]/144</f>
        <v>5</v>
      </c>
      <c r="P11" s="17">
        <f>ABS[[#This Row],[Base duration / s]]/ABS[[#This Row],[Yield / ingots]]</f>
        <v>48.75</v>
      </c>
      <c r="Q11" s="12"/>
      <c r="R11" s="12" t="str">
        <f>_xlfn.XLOOKUP(ABS[[#This Row],[Base Temperature / K]],Coils[Temperature / K],Coils[Coil],"",1)</f>
        <v>Kanthal</v>
      </c>
      <c r="S11" s="12" t="str">
        <f>IF(ABS[[#This Row],[Base Temperature / K]]="","",_xlfn.XLOOKUP(ABS[[#This Row],[Base Temperature / K]]+(1800*1),Coils[Temperature / K],Coils[Coil],"",1))</f>
        <v>Tungstensteel</v>
      </c>
      <c r="T11" s="12" t="str">
        <f>IF(ABS[[#This Row],[Base Temperature / K]]="","",_xlfn.XLOOKUP(ABS[[#This Row],[Base Temperature / K]]+(1800*2),Coils[Temperature / K],Coils[Coil],"",1))</f>
        <v>Naquadah</v>
      </c>
      <c r="U11" s="12" t="str">
        <f>IF(ABS[[#This Row],[Base Temperature / K]]="","",_xlfn.XLOOKUP(ABS[[#This Row],[Base Temperature / K]]+(1800*3),Coils[Temperature / K],Coils[Coil],"",1))</f>
        <v>Trinium</v>
      </c>
      <c r="V11" s="12" t="str">
        <f>IF(ABS[[#This Row],[Base Temperature / K]]="","",_xlfn.XLOOKUP(ABS[[#This Row],[Base Temperature / K]]+(1800*4),Coils[Temperature / K],Coils[Coil],"",1))</f>
        <v>Tritanium</v>
      </c>
      <c r="W11" s="12" t="str">
        <f>IF(ABS[[#This Row],[Base Temperature / K]]="","",_xlfn.XLOOKUP(ABS[[#This Row],[Base Temperature / K]]+(1800*5),Coils[Temperature / K],Coils[Coil],"",1))</f>
        <v/>
      </c>
      <c r="X11" s="12" t="str">
        <f>ABS[[#This Row],[Base voltage]]</f>
        <v>HV</v>
      </c>
      <c r="Y11" s="12" t="str">
        <f>ABS[[#This Row],[Base coils]]</f>
        <v>Kanthal</v>
      </c>
      <c r="Z11" s="11">
        <f>IFERROR(_xlfn.XLOOKUP(ABS[[#This Row],[Coils]],Coils[Coil],Coils[Temperature / K],"",1)+((_xlfn.XLOOKUP(ABS[[#This Row],[Energy hatch]],Voltage[Voltage],Voltage[Voltage tier],"",0)-1)*100),"")</f>
        <v>2800</v>
      </c>
      <c r="AA11" s="13">
        <f>IFERROR(0.95^ROUNDDOWN((ABS[[#This Row],[Heat capacity / K]]-ABS[[#This Row],[Base Temperature / K]])/900,0),"")</f>
        <v>1</v>
      </c>
      <c r="AB11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480</v>
      </c>
      <c r="AC11" s="11">
        <f>ABS[[#This Row],[EU/t]]*4</f>
        <v>1920</v>
      </c>
      <c r="AD11" s="14">
        <f>IFERROR(1/(2^ROUNDDOWN((ABS[[#This Row],[Heat capacity / K]]-ABS[[#This Row],[Base Temperature / K]])/1800,0)),"")</f>
        <v>1</v>
      </c>
      <c r="AE11" s="14">
        <f>IFERROR(1/2^(_xlfn.XLOOKUP(ABS[[#This Row],[Energy hatch]],Voltage[Voltage],Voltage[Voltage tier],"",0)-(_xlfn.XLOOKUP(ABS[[#This Row],[Base voltage]],Voltage[Voltage],Voltage[Voltage tier],"",0))),"")</f>
        <v>1</v>
      </c>
      <c r="AF11" s="15">
        <f>IFERROR(ABS[[#This Row],[Coil overclock ]]*ABS[[#This Row],[Energy overclock]],"")</f>
        <v>1</v>
      </c>
      <c r="AG11" s="16">
        <f>IFERROR(IF(ROUNDDOWN(ABS[[#This Row],[Total OC]]*ABS[[#This Row],[Base duration / s]],1)&lt;0.1,0.1,ROUNDDOWN(ABS[[#This Row],[Total OC]]*ABS[[#This Row],[Base duration / s]],1)),"")</f>
        <v>243.7</v>
      </c>
      <c r="AH11" s="19">
        <f>ABS[[#This Row],[Net duration / s]]/ABS[[#This Row],[Yield / ingots]]</f>
        <v>48.739999999999995</v>
      </c>
    </row>
    <row r="12" spans="2:34" x14ac:dyDescent="0.25">
      <c r="B12" s="10" t="s">
        <v>64</v>
      </c>
      <c r="C12" s="10">
        <v>2</v>
      </c>
      <c r="D12" s="10" t="s">
        <v>140</v>
      </c>
      <c r="E12" s="10" t="s">
        <v>82</v>
      </c>
      <c r="F12" s="10"/>
      <c r="G12" s="10"/>
      <c r="H12" s="10"/>
      <c r="I12" s="10"/>
      <c r="J12" s="11">
        <v>1920</v>
      </c>
      <c r="K12" s="12" t="str">
        <f>_xlfn.XLOOKUP(ABS[[#This Row],[Base EU/T]],Voltage[Voltage / V],Voltage[Voltage],"",1)</f>
        <v>EV</v>
      </c>
      <c r="L12" s="18">
        <v>75</v>
      </c>
      <c r="M12" s="11">
        <v>3000</v>
      </c>
      <c r="N12" s="11">
        <v>288</v>
      </c>
      <c r="O12" s="11">
        <f>ABS[[#This Row],[Yield / L]]/144</f>
        <v>2</v>
      </c>
      <c r="P12" s="17">
        <f>ABS[[#This Row],[Base duration / s]]/ABS[[#This Row],[Yield / ingots]]</f>
        <v>37.5</v>
      </c>
      <c r="Q12" s="12"/>
      <c r="R12" s="12" t="str">
        <f>_xlfn.XLOOKUP(ABS[[#This Row],[Base Temperature / K]],Coils[Temperature / K],Coils[Coil],"",1)</f>
        <v>Nichrome</v>
      </c>
      <c r="S12" s="12" t="str">
        <f>IF(ABS[[#This Row],[Base Temperature / K]]="","",_xlfn.XLOOKUP(ABS[[#This Row],[Base Temperature / K]]+(1800*1),Coils[Temperature / K],Coils[Coil],"",1))</f>
        <v>HSS-G</v>
      </c>
      <c r="T12" s="12" t="str">
        <f>IF(ABS[[#This Row],[Base Temperature / K]]="","",_xlfn.XLOOKUP(ABS[[#This Row],[Base Temperature / K]]+(1800*2),Coils[Temperature / K],Coils[Coil],"",1))</f>
        <v>Naquadah</v>
      </c>
      <c r="U12" s="12" t="str">
        <f>IF(ABS[[#This Row],[Base Temperature / K]]="","",_xlfn.XLOOKUP(ABS[[#This Row],[Base Temperature / K]]+(1800*3),Coils[Temperature / K],Coils[Coil],"",1))</f>
        <v>Trinium</v>
      </c>
      <c r="V12" s="12" t="str">
        <f>IF(ABS[[#This Row],[Base Temperature / K]]="","",_xlfn.XLOOKUP(ABS[[#This Row],[Base Temperature / K]]+(1800*4),Coils[Temperature / K],Coils[Coil],"",1))</f>
        <v>Tritanium</v>
      </c>
      <c r="W12" s="12" t="str">
        <f>IF(ABS[[#This Row],[Base Temperature / K]]="","",_xlfn.XLOOKUP(ABS[[#This Row],[Base Temperature / K]]+(1800*5),Coils[Temperature / K],Coils[Coil],"",1))</f>
        <v/>
      </c>
      <c r="X12" s="12" t="str">
        <f>ABS[[#This Row],[Base voltage]]</f>
        <v>EV</v>
      </c>
      <c r="Y12" s="12" t="str">
        <f>ABS[[#This Row],[Base coils]]</f>
        <v>Nichrome</v>
      </c>
      <c r="Z12" s="11">
        <f>IFERROR(_xlfn.XLOOKUP(ABS[[#This Row],[Coils]],Coils[Coil],Coils[Temperature / K],"",1)+((_xlfn.XLOOKUP(ABS[[#This Row],[Energy hatch]],Voltage[Voltage],Voltage[Voltage tier],"",0)-1)*100),"")</f>
        <v>3800</v>
      </c>
      <c r="AA12" s="13">
        <f>IFERROR(0.95^ROUNDDOWN((ABS[[#This Row],[Heat capacity / K]]-ABS[[#This Row],[Base Temperature / K]])/900,0),"")</f>
        <v>1</v>
      </c>
      <c r="AB12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1920</v>
      </c>
      <c r="AC12" s="11">
        <f>ABS[[#This Row],[EU/t]]*4</f>
        <v>7680</v>
      </c>
      <c r="AD12" s="14">
        <f>IFERROR(1/(2^ROUNDDOWN((ABS[[#This Row],[Heat capacity / K]]-ABS[[#This Row],[Base Temperature / K]])/1800,0)),"")</f>
        <v>1</v>
      </c>
      <c r="AE12" s="14">
        <f>IFERROR(1/2^(_xlfn.XLOOKUP(ABS[[#This Row],[Energy hatch]],Voltage[Voltage],Voltage[Voltage tier],"",0)-(_xlfn.XLOOKUP(ABS[[#This Row],[Base voltage]],Voltage[Voltage],Voltage[Voltage tier],"",0))),"")</f>
        <v>1</v>
      </c>
      <c r="AF12" s="15">
        <f>IFERROR(ABS[[#This Row],[Coil overclock ]]*ABS[[#This Row],[Energy overclock]],"")</f>
        <v>1</v>
      </c>
      <c r="AG12" s="16">
        <f>IFERROR(IF(ROUNDDOWN(ABS[[#This Row],[Total OC]]*ABS[[#This Row],[Base duration / s]],1)&lt;0.1,0.1,ROUNDDOWN(ABS[[#This Row],[Total OC]]*ABS[[#This Row],[Base duration / s]],1)),"")</f>
        <v>75</v>
      </c>
      <c r="AH12" s="19">
        <f>ABS[[#This Row],[Net duration / s]]/ABS[[#This Row],[Yield / ingots]]</f>
        <v>37.5</v>
      </c>
    </row>
    <row r="13" spans="2:34" x14ac:dyDescent="0.25">
      <c r="B13" s="10" t="s">
        <v>86</v>
      </c>
      <c r="C13" s="10">
        <v>2</v>
      </c>
      <c r="D13" s="10" t="s">
        <v>82</v>
      </c>
      <c r="E13" s="10" t="s">
        <v>151</v>
      </c>
      <c r="F13" s="10"/>
      <c r="G13" s="10"/>
      <c r="H13" s="10"/>
      <c r="I13" s="10"/>
      <c r="J13" s="11">
        <v>480</v>
      </c>
      <c r="K13" s="12" t="str">
        <f>_xlfn.XLOOKUP(ABS[[#This Row],[Base EU/T]],Voltage[Voltage / V],Voltage[Voltage],"",1)</f>
        <v>HV</v>
      </c>
      <c r="L13" s="18">
        <v>112.5</v>
      </c>
      <c r="M13" s="11">
        <v>3058</v>
      </c>
      <c r="N13" s="11">
        <v>288</v>
      </c>
      <c r="O13" s="11">
        <f>ABS[[#This Row],[Yield / L]]/144</f>
        <v>2</v>
      </c>
      <c r="P13" s="17">
        <f>ABS[[#This Row],[Base duration / s]]/ABS[[#This Row],[Yield / ingots]]</f>
        <v>56.25</v>
      </c>
      <c r="Q13" s="12"/>
      <c r="R13" s="12" t="str">
        <f>_xlfn.XLOOKUP(ABS[[#This Row],[Base Temperature / K]],Coils[Temperature / K],Coils[Coil],"",1)</f>
        <v>Nichrome</v>
      </c>
      <c r="S13" s="12" t="str">
        <f>IF(ABS[[#This Row],[Base Temperature / K]]="","",_xlfn.XLOOKUP(ABS[[#This Row],[Base Temperature / K]]+(1800*1),Coils[Temperature / K],Coils[Coil],"",1))</f>
        <v>HSS-G</v>
      </c>
      <c r="T13" s="12" t="str">
        <f>IF(ABS[[#This Row],[Base Temperature / K]]="","",_xlfn.XLOOKUP(ABS[[#This Row],[Base Temperature / K]]+(1800*2),Coils[Temperature / K],Coils[Coil],"",1))</f>
        <v>Naquadah</v>
      </c>
      <c r="U13" s="12" t="str">
        <f>IF(ABS[[#This Row],[Base Temperature / K]]="","",_xlfn.XLOOKUP(ABS[[#This Row],[Base Temperature / K]]+(1800*3),Coils[Temperature / K],Coils[Coil],"",1))</f>
        <v>Trinium</v>
      </c>
      <c r="V13" s="12" t="str">
        <f>IF(ABS[[#This Row],[Base Temperature / K]]="","",_xlfn.XLOOKUP(ABS[[#This Row],[Base Temperature / K]]+(1800*4),Coils[Temperature / K],Coils[Coil],"",1))</f>
        <v>Tritanium</v>
      </c>
      <c r="W13" s="12" t="str">
        <f>IF(ABS[[#This Row],[Base Temperature / K]]="","",_xlfn.XLOOKUP(ABS[[#This Row],[Base Temperature / K]]+(1800*5),Coils[Temperature / K],Coils[Coil],"",1))</f>
        <v/>
      </c>
      <c r="X13" s="12" t="str">
        <f>ABS[[#This Row],[Base voltage]]</f>
        <v>HV</v>
      </c>
      <c r="Y13" s="12" t="str">
        <f>ABS[[#This Row],[Base coils]]</f>
        <v>Nichrome</v>
      </c>
      <c r="Z13" s="11">
        <f>IFERROR(_xlfn.XLOOKUP(ABS[[#This Row],[Coils]],Coils[Coil],Coils[Temperature / K],"",1)+((_xlfn.XLOOKUP(ABS[[#This Row],[Energy hatch]],Voltage[Voltage],Voltage[Voltage tier],"",0)-1)*100),"")</f>
        <v>3700</v>
      </c>
      <c r="AA13" s="13">
        <f>IFERROR(0.95^ROUNDDOWN((ABS[[#This Row],[Heat capacity / K]]-ABS[[#This Row],[Base Temperature / K]])/900,0),"")</f>
        <v>1</v>
      </c>
      <c r="AB13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480</v>
      </c>
      <c r="AC13" s="11">
        <f>ABS[[#This Row],[EU/t]]*4</f>
        <v>1920</v>
      </c>
      <c r="AD13" s="14">
        <f>IFERROR(1/(2^ROUNDDOWN((ABS[[#This Row],[Heat capacity / K]]-ABS[[#This Row],[Base Temperature / K]])/1800,0)),"")</f>
        <v>1</v>
      </c>
      <c r="AE13" s="14">
        <f>IFERROR(1/2^(_xlfn.XLOOKUP(ABS[[#This Row],[Energy hatch]],Voltage[Voltage],Voltage[Voltage tier],"",0)-(_xlfn.XLOOKUP(ABS[[#This Row],[Base voltage]],Voltage[Voltage],Voltage[Voltage tier],"",0))),"")</f>
        <v>1</v>
      </c>
      <c r="AF13" s="15">
        <f>IFERROR(ABS[[#This Row],[Coil overclock ]]*ABS[[#This Row],[Energy overclock]],"")</f>
        <v>1</v>
      </c>
      <c r="AG13" s="16">
        <f>IFERROR(IF(ROUNDDOWN(ABS[[#This Row],[Total OC]]*ABS[[#This Row],[Base duration / s]],1)&lt;0.1,0.1,ROUNDDOWN(ABS[[#This Row],[Total OC]]*ABS[[#This Row],[Base duration / s]],1)),"")</f>
        <v>112.5</v>
      </c>
      <c r="AH13" s="19">
        <f>ABS[[#This Row],[Net duration / s]]/ABS[[#This Row],[Yield / ingots]]</f>
        <v>56.25</v>
      </c>
    </row>
    <row r="14" spans="2:34" x14ac:dyDescent="0.25">
      <c r="B14" s="10" t="s">
        <v>150</v>
      </c>
      <c r="C14" s="10">
        <v>2</v>
      </c>
      <c r="D14" s="10" t="s">
        <v>72</v>
      </c>
      <c r="E14" s="10" t="s">
        <v>151</v>
      </c>
      <c r="F14" s="10"/>
      <c r="G14" s="10"/>
      <c r="H14" s="10"/>
      <c r="I14" s="10"/>
      <c r="J14" s="11">
        <v>1920</v>
      </c>
      <c r="K14" s="12" t="str">
        <f>_xlfn.XLOOKUP(ABS[[#This Row],[Base EU/T]],Voltage[Voltage / V],Voltage[Voltage],"",1)</f>
        <v>EV</v>
      </c>
      <c r="L14" s="18">
        <v>75</v>
      </c>
      <c r="M14" s="11">
        <v>3430</v>
      </c>
      <c r="N14" s="11">
        <v>288</v>
      </c>
      <c r="O14" s="11">
        <f>ABS[[#This Row],[Yield / L]]/144</f>
        <v>2</v>
      </c>
      <c r="P14" s="17">
        <f>ABS[[#This Row],[Base duration / s]]/ABS[[#This Row],[Yield / ingots]]</f>
        <v>37.5</v>
      </c>
      <c r="Q14" s="12"/>
      <c r="R14" s="12" t="str">
        <f>_xlfn.XLOOKUP(ABS[[#This Row],[Base Temperature / K]],Coils[Temperature / K],Coils[Coil],"",1)</f>
        <v>Nichrome</v>
      </c>
      <c r="S14" s="12" t="str">
        <f>IF(ABS[[#This Row],[Base Temperature / K]]="","",_xlfn.XLOOKUP(ABS[[#This Row],[Base Temperature / K]]+(1800*1),Coils[Temperature / K],Coils[Coil],"",1))</f>
        <v>HSS-G</v>
      </c>
      <c r="T14" s="12" t="str">
        <f>IF(ABS[[#This Row],[Base Temperature / K]]="","",_xlfn.XLOOKUP(ABS[[#This Row],[Base Temperature / K]]+(1800*2),Coils[Temperature / K],Coils[Coil],"",1))</f>
        <v>Naquadah</v>
      </c>
      <c r="U14" s="12" t="str">
        <f>IF(ABS[[#This Row],[Base Temperature / K]]="","",_xlfn.XLOOKUP(ABS[[#This Row],[Base Temperature / K]]+(1800*3),Coils[Temperature / K],Coils[Coil],"",1))</f>
        <v>Trinium</v>
      </c>
      <c r="V14" s="12" t="str">
        <f>IF(ABS[[#This Row],[Base Temperature / K]]="","",_xlfn.XLOOKUP(ABS[[#This Row],[Base Temperature / K]]+(1800*4),Coils[Temperature / K],Coils[Coil],"",1))</f>
        <v>Tritanium</v>
      </c>
      <c r="W14" s="12" t="str">
        <f>IF(ABS[[#This Row],[Base Temperature / K]]="","",_xlfn.XLOOKUP(ABS[[#This Row],[Base Temperature / K]]+(1800*5),Coils[Temperature / K],Coils[Coil],"",1))</f>
        <v/>
      </c>
      <c r="X14" s="12" t="str">
        <f>ABS[[#This Row],[Base voltage]]</f>
        <v>EV</v>
      </c>
      <c r="Y14" s="12" t="str">
        <f>ABS[[#This Row],[Base coils]]</f>
        <v>Nichrome</v>
      </c>
      <c r="Z14" s="11">
        <f>IFERROR(_xlfn.XLOOKUP(ABS[[#This Row],[Coils]],Coils[Coil],Coils[Temperature / K],"",1)+((_xlfn.XLOOKUP(ABS[[#This Row],[Energy hatch]],Voltage[Voltage],Voltage[Voltage tier],"",0)-1)*100),"")</f>
        <v>3800</v>
      </c>
      <c r="AA14" s="13">
        <f>IFERROR(0.95^ROUNDDOWN((ABS[[#This Row],[Heat capacity / K]]-ABS[[#This Row],[Base Temperature / K]])/900,0),"")</f>
        <v>1</v>
      </c>
      <c r="AB14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1920</v>
      </c>
      <c r="AC14" s="11">
        <f>ABS[[#This Row],[EU/t]]*4</f>
        <v>7680</v>
      </c>
      <c r="AD14" s="14">
        <f>IFERROR(1/(2^ROUNDDOWN((ABS[[#This Row],[Heat capacity / K]]-ABS[[#This Row],[Base Temperature / K]])/1800,0)),"")</f>
        <v>1</v>
      </c>
      <c r="AE14" s="14">
        <f>IFERROR(1/2^(_xlfn.XLOOKUP(ABS[[#This Row],[Energy hatch]],Voltage[Voltage],Voltage[Voltage tier],"",0)-(_xlfn.XLOOKUP(ABS[[#This Row],[Base voltage]],Voltage[Voltage],Voltage[Voltage tier],"",0))),"")</f>
        <v>1</v>
      </c>
      <c r="AF14" s="15">
        <f>IFERROR(ABS[[#This Row],[Coil overclock ]]*ABS[[#This Row],[Energy overclock]],"")</f>
        <v>1</v>
      </c>
      <c r="AG14" s="16">
        <f>IFERROR(IF(ROUNDDOWN(ABS[[#This Row],[Total OC]]*ABS[[#This Row],[Base duration / s]],1)&lt;0.1,0.1,ROUNDDOWN(ABS[[#This Row],[Total OC]]*ABS[[#This Row],[Base duration / s]],1)),"")</f>
        <v>75</v>
      </c>
      <c r="AH14" s="19">
        <f>ABS[[#This Row],[Net duration / s]]/ABS[[#This Row],[Yield / ingots]]</f>
        <v>37.5</v>
      </c>
    </row>
    <row r="15" spans="2:34" x14ac:dyDescent="0.25">
      <c r="B15" s="10" t="s">
        <v>164</v>
      </c>
      <c r="C15" s="10">
        <v>2</v>
      </c>
      <c r="D15" s="10" t="s">
        <v>82</v>
      </c>
      <c r="E15" s="10" t="s">
        <v>72</v>
      </c>
      <c r="F15" s="10" t="s">
        <v>151</v>
      </c>
      <c r="G15" s="10"/>
      <c r="H15" s="10"/>
      <c r="I15" s="10"/>
      <c r="J15" s="11">
        <v>1920</v>
      </c>
      <c r="K15" s="12" t="str">
        <f>_xlfn.XLOOKUP(ABS[[#This Row],[Base EU/T]],Voltage[Voltage / V],Voltage[Voltage],"",1)</f>
        <v>EV</v>
      </c>
      <c r="L15" s="18">
        <v>112.5</v>
      </c>
      <c r="M15" s="11">
        <v>3800</v>
      </c>
      <c r="N15" s="11">
        <v>432</v>
      </c>
      <c r="O15" s="11">
        <f>ABS[[#This Row],[Yield / L]]/144</f>
        <v>3</v>
      </c>
      <c r="P15" s="17">
        <f>ABS[[#This Row],[Base duration / s]]/ABS[[#This Row],[Yield / ingots]]</f>
        <v>37.5</v>
      </c>
      <c r="Q15" s="12"/>
      <c r="R15" s="12" t="str">
        <f>_xlfn.XLOOKUP(ABS[[#This Row],[Base Temperature / K]],Coils[Temperature / K],Coils[Coil],"",1)</f>
        <v>Tungstensteel</v>
      </c>
      <c r="S15" s="12" t="str">
        <f>IF(ABS[[#This Row],[Base Temperature / K]]="","",_xlfn.XLOOKUP(ABS[[#This Row],[Base Temperature / K]]+(1800*1),Coils[Temperature / K],Coils[Coil],"",1))</f>
        <v>Naquadah</v>
      </c>
      <c r="T15" s="12" t="str">
        <f>IF(ABS[[#This Row],[Base Temperature / K]]="","",_xlfn.XLOOKUP(ABS[[#This Row],[Base Temperature / K]]+(1800*2),Coils[Temperature / K],Coils[Coil],"",1))</f>
        <v>Trinium</v>
      </c>
      <c r="U15" s="12" t="str">
        <f>IF(ABS[[#This Row],[Base Temperature / K]]="","",_xlfn.XLOOKUP(ABS[[#This Row],[Base Temperature / K]]+(1800*3),Coils[Temperature / K],Coils[Coil],"",1))</f>
        <v>Tritanium</v>
      </c>
      <c r="V15" s="12" t="str">
        <f>IF(ABS[[#This Row],[Base Temperature / K]]="","",_xlfn.XLOOKUP(ABS[[#This Row],[Base Temperature / K]]+(1800*4),Coils[Temperature / K],Coils[Coil],"",1))</f>
        <v/>
      </c>
      <c r="W15" s="12" t="str">
        <f>IF(ABS[[#This Row],[Base Temperature / K]]="","",_xlfn.XLOOKUP(ABS[[#This Row],[Base Temperature / K]]+(1800*5),Coils[Temperature / K],Coils[Coil],"",1))</f>
        <v/>
      </c>
      <c r="X15" s="12" t="str">
        <f>ABS[[#This Row],[Base voltage]]</f>
        <v>EV</v>
      </c>
      <c r="Y15" s="12" t="str">
        <f>ABS[[#This Row],[Base coils]]</f>
        <v>Tungstensteel</v>
      </c>
      <c r="Z15" s="11">
        <f>IFERROR(_xlfn.XLOOKUP(ABS[[#This Row],[Coils]],Coils[Coil],Coils[Temperature / K],"",1)+((_xlfn.XLOOKUP(ABS[[#This Row],[Energy hatch]],Voltage[Voltage],Voltage[Voltage tier],"",0)-1)*100),"")</f>
        <v>4700</v>
      </c>
      <c r="AA15" s="13">
        <f>IFERROR(0.95^ROUNDDOWN((ABS[[#This Row],[Heat capacity / K]]-ABS[[#This Row],[Base Temperature / K]])/900,0),"")</f>
        <v>0.95</v>
      </c>
      <c r="AB15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1824</v>
      </c>
      <c r="AC15" s="11">
        <f>ABS[[#This Row],[EU/t]]*4</f>
        <v>7296</v>
      </c>
      <c r="AD15" s="14">
        <f>IFERROR(1/(2^ROUNDDOWN((ABS[[#This Row],[Heat capacity / K]]-ABS[[#This Row],[Base Temperature / K]])/1800,0)),"")</f>
        <v>1</v>
      </c>
      <c r="AE15" s="14">
        <f>IFERROR(1/2^(_xlfn.XLOOKUP(ABS[[#This Row],[Energy hatch]],Voltage[Voltage],Voltage[Voltage tier],"",0)-(_xlfn.XLOOKUP(ABS[[#This Row],[Base voltage]],Voltage[Voltage],Voltage[Voltage tier],"",0))),"")</f>
        <v>1</v>
      </c>
      <c r="AF15" s="15">
        <f>IFERROR(ABS[[#This Row],[Coil overclock ]]*ABS[[#This Row],[Energy overclock]],"")</f>
        <v>1</v>
      </c>
      <c r="AG15" s="16">
        <f>IFERROR(IF(ROUNDDOWN(ABS[[#This Row],[Total OC]]*ABS[[#This Row],[Base duration / s]],1)&lt;0.1,0.1,ROUNDDOWN(ABS[[#This Row],[Total OC]]*ABS[[#This Row],[Base duration / s]],1)),"")</f>
        <v>112.5</v>
      </c>
      <c r="AH15" s="19">
        <f>ABS[[#This Row],[Net duration / s]]/ABS[[#This Row],[Yield / ingots]]</f>
        <v>37.5</v>
      </c>
    </row>
    <row r="16" spans="2:34" x14ac:dyDescent="0.25">
      <c r="B16" s="10" t="s">
        <v>159</v>
      </c>
      <c r="C16" s="10">
        <v>2</v>
      </c>
      <c r="D16" s="10" t="s">
        <v>160</v>
      </c>
      <c r="E16" s="10" t="s">
        <v>151</v>
      </c>
      <c r="F16" s="10"/>
      <c r="G16" s="10"/>
      <c r="H16" s="10"/>
      <c r="I16" s="10"/>
      <c r="J16" s="11">
        <v>1920</v>
      </c>
      <c r="K16" s="12" t="str">
        <f>_xlfn.XLOOKUP(ABS[[#This Row],[Base EU/T]],Voltage[Voltage / V],Voltage[Voltage],"",1)</f>
        <v>EV</v>
      </c>
      <c r="L16" s="18">
        <v>90</v>
      </c>
      <c r="M16" s="11">
        <v>4120</v>
      </c>
      <c r="N16" s="11">
        <v>288</v>
      </c>
      <c r="O16" s="11">
        <f>ABS[[#This Row],[Yield / L]]/144</f>
        <v>2</v>
      </c>
      <c r="P16" s="17">
        <f>ABS[[#This Row],[Base duration / s]]/ABS[[#This Row],[Yield / ingots]]</f>
        <v>45</v>
      </c>
      <c r="Q16" s="12"/>
      <c r="R16" s="12" t="str">
        <f>_xlfn.XLOOKUP(ABS[[#This Row],[Base Temperature / K]],Coils[Temperature / K],Coils[Coil],"",1)</f>
        <v>Tungstensteel</v>
      </c>
      <c r="S16" s="12" t="str">
        <f>IF(ABS[[#This Row],[Base Temperature / K]]="","",_xlfn.XLOOKUP(ABS[[#This Row],[Base Temperature / K]]+(1800*1),Coils[Temperature / K],Coils[Coil],"",1))</f>
        <v>Naquadah</v>
      </c>
      <c r="T16" s="12" t="str">
        <f>IF(ABS[[#This Row],[Base Temperature / K]]="","",_xlfn.XLOOKUP(ABS[[#This Row],[Base Temperature / K]]+(1800*2),Coils[Temperature / K],Coils[Coil],"",1))</f>
        <v>Trinium</v>
      </c>
      <c r="U16" s="12" t="str">
        <f>IF(ABS[[#This Row],[Base Temperature / K]]="","",_xlfn.XLOOKUP(ABS[[#This Row],[Base Temperature / K]]+(1800*3),Coils[Temperature / K],Coils[Coil],"",1))</f>
        <v>Tritanium</v>
      </c>
      <c r="V16" s="12" t="str">
        <f>IF(ABS[[#This Row],[Base Temperature / K]]="","",_xlfn.XLOOKUP(ABS[[#This Row],[Base Temperature / K]]+(1800*4),Coils[Temperature / K],Coils[Coil],"",1))</f>
        <v/>
      </c>
      <c r="W16" s="12" t="str">
        <f>IF(ABS[[#This Row],[Base Temperature / K]]="","",_xlfn.XLOOKUP(ABS[[#This Row],[Base Temperature / K]]+(1800*5),Coils[Temperature / K],Coils[Coil],"",1))</f>
        <v/>
      </c>
      <c r="X16" s="12" t="str">
        <f>ABS[[#This Row],[Base voltage]]</f>
        <v>EV</v>
      </c>
      <c r="Y16" s="12" t="str">
        <f>ABS[[#This Row],[Base coils]]</f>
        <v>Tungstensteel</v>
      </c>
      <c r="Z16" s="11">
        <f>IFERROR(_xlfn.XLOOKUP(ABS[[#This Row],[Coils]],Coils[Coil],Coils[Temperature / K],"",1)+((_xlfn.XLOOKUP(ABS[[#This Row],[Energy hatch]],Voltage[Voltage],Voltage[Voltage tier],"",0)-1)*100),"")</f>
        <v>4700</v>
      </c>
      <c r="AA16" s="13">
        <f>IFERROR(0.95^ROUNDDOWN((ABS[[#This Row],[Heat capacity / K]]-ABS[[#This Row],[Base Temperature / K]])/900,0),"")</f>
        <v>1</v>
      </c>
      <c r="AB16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1920</v>
      </c>
      <c r="AC16" s="11">
        <f>ABS[[#This Row],[EU/t]]*4</f>
        <v>7680</v>
      </c>
      <c r="AD16" s="14">
        <f>IFERROR(1/(2^ROUNDDOWN((ABS[[#This Row],[Heat capacity / K]]-ABS[[#This Row],[Base Temperature / K]])/1800,0)),"")</f>
        <v>1</v>
      </c>
      <c r="AE16" s="14">
        <f>IFERROR(1/2^(_xlfn.XLOOKUP(ABS[[#This Row],[Energy hatch]],Voltage[Voltage],Voltage[Voltage tier],"",0)-(_xlfn.XLOOKUP(ABS[[#This Row],[Base voltage]],Voltage[Voltage],Voltage[Voltage tier],"",0))),"")</f>
        <v>1</v>
      </c>
      <c r="AF16" s="15">
        <f>IFERROR(ABS[[#This Row],[Coil overclock ]]*ABS[[#This Row],[Energy overclock]],"")</f>
        <v>1</v>
      </c>
      <c r="AG16" s="16">
        <f>IFERROR(IF(ROUNDDOWN(ABS[[#This Row],[Total OC]]*ABS[[#This Row],[Base duration / s]],1)&lt;0.1,0.1,ROUNDDOWN(ABS[[#This Row],[Total OC]]*ABS[[#This Row],[Base duration / s]],1)),"")</f>
        <v>90</v>
      </c>
      <c r="AH16" s="19">
        <f>ABS[[#This Row],[Net duration / s]]/ABS[[#This Row],[Yield / ingots]]</f>
        <v>45</v>
      </c>
    </row>
    <row r="17" spans="2:34" x14ac:dyDescent="0.25">
      <c r="B17" s="10" t="s">
        <v>63</v>
      </c>
      <c r="C17" s="10">
        <v>2</v>
      </c>
      <c r="D17" s="10" t="s">
        <v>165</v>
      </c>
      <c r="E17" s="10" t="s">
        <v>166</v>
      </c>
      <c r="F17" s="10"/>
      <c r="G17" s="10"/>
      <c r="H17" s="10"/>
      <c r="I17" s="10"/>
      <c r="J17" s="11">
        <v>1920</v>
      </c>
      <c r="K17" s="12" t="str">
        <f>_xlfn.XLOOKUP(ABS[[#This Row],[Base EU/T]],Voltage[Voltage / V],Voltage[Voltage],"",1)</f>
        <v>EV</v>
      </c>
      <c r="L17" s="18">
        <v>150</v>
      </c>
      <c r="M17" s="11">
        <v>4400</v>
      </c>
      <c r="N17" s="11">
        <v>576</v>
      </c>
      <c r="O17" s="11">
        <f>ABS[[#This Row],[Yield / L]]/144</f>
        <v>4</v>
      </c>
      <c r="P17" s="17">
        <f>ABS[[#This Row],[Base duration / s]]/ABS[[#This Row],[Yield / ingots]]</f>
        <v>37.5</v>
      </c>
      <c r="Q17" s="12"/>
      <c r="R17" s="12" t="str">
        <f>_xlfn.XLOOKUP(ABS[[#This Row],[Base Temperature / K]],Coils[Temperature / K],Coils[Coil],"",1)</f>
        <v>Tungstensteel</v>
      </c>
      <c r="S17" s="12" t="str">
        <f>IF(ABS[[#This Row],[Base Temperature / K]]="","",_xlfn.XLOOKUP(ABS[[#This Row],[Base Temperature / K]]+(1800*1),Coils[Temperature / K],Coils[Coil],"",1))</f>
        <v>Naquadah</v>
      </c>
      <c r="T17" s="12" t="str">
        <f>IF(ABS[[#This Row],[Base Temperature / K]]="","",_xlfn.XLOOKUP(ABS[[#This Row],[Base Temperature / K]]+(1800*2),Coils[Temperature / K],Coils[Coil],"",1))</f>
        <v>Trinium</v>
      </c>
      <c r="U17" s="12" t="str">
        <f>IF(ABS[[#This Row],[Base Temperature / K]]="","",_xlfn.XLOOKUP(ABS[[#This Row],[Base Temperature / K]]+(1800*3),Coils[Temperature / K],Coils[Coil],"",1))</f>
        <v>Tritanium</v>
      </c>
      <c r="V17" s="12" t="str">
        <f>IF(ABS[[#This Row],[Base Temperature / K]]="","",_xlfn.XLOOKUP(ABS[[#This Row],[Base Temperature / K]]+(1800*4),Coils[Temperature / K],Coils[Coil],"",1))</f>
        <v/>
      </c>
      <c r="W17" s="12" t="str">
        <f>IF(ABS[[#This Row],[Base Temperature / K]]="","",_xlfn.XLOOKUP(ABS[[#This Row],[Base Temperature / K]]+(1800*5),Coils[Temperature / K],Coils[Coil],"",1))</f>
        <v/>
      </c>
      <c r="X17" s="12" t="str">
        <f>ABS[[#This Row],[Base voltage]]</f>
        <v>EV</v>
      </c>
      <c r="Y17" s="12" t="str">
        <f>ABS[[#This Row],[Base coils]]</f>
        <v>Tungstensteel</v>
      </c>
      <c r="Z17" s="11">
        <f>IFERROR(_xlfn.XLOOKUP(ABS[[#This Row],[Coils]],Coils[Coil],Coils[Temperature / K],"",1)+((_xlfn.XLOOKUP(ABS[[#This Row],[Energy hatch]],Voltage[Voltage],Voltage[Voltage tier],"",0)-1)*100),"")</f>
        <v>4700</v>
      </c>
      <c r="AA17" s="13">
        <f>IFERROR(0.95^ROUNDDOWN((ABS[[#This Row],[Heat capacity / K]]-ABS[[#This Row],[Base Temperature / K]])/900,0),"")</f>
        <v>1</v>
      </c>
      <c r="AB17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1920</v>
      </c>
      <c r="AC17" s="11">
        <f>ABS[[#This Row],[EU/t]]*4</f>
        <v>7680</v>
      </c>
      <c r="AD17" s="14">
        <f>IFERROR(1/(2^ROUNDDOWN((ABS[[#This Row],[Heat capacity / K]]-ABS[[#This Row],[Base Temperature / K]])/1800,0)),"")</f>
        <v>1</v>
      </c>
      <c r="AE17" s="14">
        <f>IFERROR(1/2^(_xlfn.XLOOKUP(ABS[[#This Row],[Energy hatch]],Voltage[Voltage],Voltage[Voltage tier],"",0)-(_xlfn.XLOOKUP(ABS[[#This Row],[Base voltage]],Voltage[Voltage],Voltage[Voltage tier],"",0))),"")</f>
        <v>1</v>
      </c>
      <c r="AF17" s="15">
        <f>IFERROR(ABS[[#This Row],[Coil overclock ]]*ABS[[#This Row],[Energy overclock]],"")</f>
        <v>1</v>
      </c>
      <c r="AG17" s="16">
        <f>IFERROR(IF(ROUNDDOWN(ABS[[#This Row],[Total OC]]*ABS[[#This Row],[Base duration / s]],1)&lt;0.1,0.1,ROUNDDOWN(ABS[[#This Row],[Total OC]]*ABS[[#This Row],[Base duration / s]],1)),"")</f>
        <v>150</v>
      </c>
      <c r="AH17" s="19">
        <f>ABS[[#This Row],[Net duration / s]]/ABS[[#This Row],[Yield / ingots]]</f>
        <v>37.5</v>
      </c>
    </row>
    <row r="18" spans="2:34" x14ac:dyDescent="0.25">
      <c r="B18" s="10" t="s">
        <v>85</v>
      </c>
      <c r="C18" s="10">
        <v>2</v>
      </c>
      <c r="D18" s="10" t="s">
        <v>50</v>
      </c>
      <c r="E18" s="10" t="s">
        <v>72</v>
      </c>
      <c r="F18" s="10"/>
      <c r="G18" s="10"/>
      <c r="H18" s="10"/>
      <c r="I18" s="10"/>
      <c r="J18" s="11">
        <v>480</v>
      </c>
      <c r="K18" s="12" t="str">
        <f>_xlfn.XLOOKUP(ABS[[#This Row],[Base EU/T]],Voltage[Voltage / V],Voltage[Voltage],"",1)</f>
        <v>HV</v>
      </c>
      <c r="L18" s="18">
        <v>112.5</v>
      </c>
      <c r="M18" s="11">
        <v>4500</v>
      </c>
      <c r="N18" s="11">
        <v>288</v>
      </c>
      <c r="O18" s="11">
        <f>ABS[[#This Row],[Yield / L]]/144</f>
        <v>2</v>
      </c>
      <c r="P18" s="17">
        <f>ABS[[#This Row],[Base duration / s]]/ABS[[#This Row],[Yield / ingots]]</f>
        <v>56.25</v>
      </c>
      <c r="Q18" s="12"/>
      <c r="R18" s="12" t="str">
        <f>_xlfn.XLOOKUP(ABS[[#This Row],[Base Temperature / K]],Coils[Temperature / K],Coils[Coil],"",1)</f>
        <v>Tungstensteel</v>
      </c>
      <c r="S18" s="12" t="str">
        <f>IF(ABS[[#This Row],[Base Temperature / K]]="","",_xlfn.XLOOKUP(ABS[[#This Row],[Base Temperature / K]]+(1800*1),Coils[Temperature / K],Coils[Coil],"",1))</f>
        <v>Naquadah</v>
      </c>
      <c r="T18" s="12" t="str">
        <f>IF(ABS[[#This Row],[Base Temperature / K]]="","",_xlfn.XLOOKUP(ABS[[#This Row],[Base Temperature / K]]+(1800*2),Coils[Temperature / K],Coils[Coil],"",1))</f>
        <v>Trinium</v>
      </c>
      <c r="U18" s="12" t="str">
        <f>IF(ABS[[#This Row],[Base Temperature / K]]="","",_xlfn.XLOOKUP(ABS[[#This Row],[Base Temperature / K]]+(1800*3),Coils[Temperature / K],Coils[Coil],"",1))</f>
        <v>Tritanium</v>
      </c>
      <c r="V18" s="12" t="str">
        <f>IF(ABS[[#This Row],[Base Temperature / K]]="","",_xlfn.XLOOKUP(ABS[[#This Row],[Base Temperature / K]]+(1800*4),Coils[Temperature / K],Coils[Coil],"",1))</f>
        <v/>
      </c>
      <c r="W18" s="12" t="str">
        <f>IF(ABS[[#This Row],[Base Temperature / K]]="","",_xlfn.XLOOKUP(ABS[[#This Row],[Base Temperature / K]]+(1800*5),Coils[Temperature / K],Coils[Coil],"",1))</f>
        <v/>
      </c>
      <c r="X18" s="12" t="str">
        <f>ABS[[#This Row],[Base voltage]]</f>
        <v>HV</v>
      </c>
      <c r="Y18" s="12" t="str">
        <f>ABS[[#This Row],[Base coils]]</f>
        <v>Tungstensteel</v>
      </c>
      <c r="Z18" s="11">
        <f>IFERROR(_xlfn.XLOOKUP(ABS[[#This Row],[Coils]],Coils[Coil],Coils[Temperature / K],"",1)+((_xlfn.XLOOKUP(ABS[[#This Row],[Energy hatch]],Voltage[Voltage],Voltage[Voltage tier],"",0)-1)*100),"")</f>
        <v>4600</v>
      </c>
      <c r="AA18" s="13">
        <f>IFERROR(0.95^ROUNDDOWN((ABS[[#This Row],[Heat capacity / K]]-ABS[[#This Row],[Base Temperature / K]])/900,0),"")</f>
        <v>1</v>
      </c>
      <c r="AB18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480</v>
      </c>
      <c r="AC18" s="11">
        <f>ABS[[#This Row],[EU/t]]*4</f>
        <v>1920</v>
      </c>
      <c r="AD18" s="14">
        <f>IFERROR(1/(2^ROUNDDOWN((ABS[[#This Row],[Heat capacity / K]]-ABS[[#This Row],[Base Temperature / K]])/1800,0)),"")</f>
        <v>1</v>
      </c>
      <c r="AE18" s="14">
        <f>IFERROR(1/2^(_xlfn.XLOOKUP(ABS[[#This Row],[Energy hatch]],Voltage[Voltage],Voltage[Voltage tier],"",0)-(_xlfn.XLOOKUP(ABS[[#This Row],[Base voltage]],Voltage[Voltage],Voltage[Voltage tier],"",0))),"")</f>
        <v>1</v>
      </c>
      <c r="AF18" s="15">
        <f>IFERROR(ABS[[#This Row],[Coil overclock ]]*ABS[[#This Row],[Energy overclock]],"")</f>
        <v>1</v>
      </c>
      <c r="AG18" s="16">
        <f>IFERROR(IF(ROUNDDOWN(ABS[[#This Row],[Total OC]]*ABS[[#This Row],[Base duration / s]],1)&lt;0.1,0.1,ROUNDDOWN(ABS[[#This Row],[Total OC]]*ABS[[#This Row],[Base duration / s]],1)),"")</f>
        <v>112.5</v>
      </c>
      <c r="AH18" s="19">
        <f>ABS[[#This Row],[Net duration / s]]/ABS[[#This Row],[Yield / ingots]]</f>
        <v>56.25</v>
      </c>
    </row>
    <row r="19" spans="2:34" x14ac:dyDescent="0.25">
      <c r="B19" s="10" t="s">
        <v>53</v>
      </c>
      <c r="C19" s="10">
        <v>2</v>
      </c>
      <c r="D19" s="10" t="s">
        <v>66</v>
      </c>
      <c r="E19" s="10" t="s">
        <v>70</v>
      </c>
      <c r="F19" s="10"/>
      <c r="G19" s="10"/>
      <c r="H19" s="10"/>
      <c r="I19" s="10"/>
      <c r="J19" s="11">
        <v>30720</v>
      </c>
      <c r="K19" s="12" t="str">
        <f>_xlfn.XLOOKUP(ABS[[#This Row],[Base EU/T]],Voltage[Voltage / V],Voltage[Voltage],"",1)</f>
        <v>LuV</v>
      </c>
      <c r="L19" s="18">
        <v>135</v>
      </c>
      <c r="M19" s="11">
        <v>4500</v>
      </c>
      <c r="N19" s="11">
        <v>576</v>
      </c>
      <c r="O19" s="11">
        <f>ABS[[#This Row],[Yield / L]]/144</f>
        <v>4</v>
      </c>
      <c r="P19" s="17">
        <f>ABS[[#This Row],[Base duration / s]]/ABS[[#This Row],[Yield / ingots]]</f>
        <v>33.75</v>
      </c>
      <c r="Q19" s="12"/>
      <c r="R19" s="12" t="str">
        <f>_xlfn.XLOOKUP(ABS[[#This Row],[Base Temperature / K]],Coils[Temperature / K],Coils[Coil],"",1)</f>
        <v>Tungstensteel</v>
      </c>
      <c r="S19" s="12" t="str">
        <f>IF(ABS[[#This Row],[Base Temperature / K]]="","",_xlfn.XLOOKUP(ABS[[#This Row],[Base Temperature / K]]+(1800*1),Coils[Temperature / K],Coils[Coil],"",1))</f>
        <v>Naquadah</v>
      </c>
      <c r="T19" s="12" t="str">
        <f>IF(ABS[[#This Row],[Base Temperature / K]]="","",_xlfn.XLOOKUP(ABS[[#This Row],[Base Temperature / K]]+(1800*2),Coils[Temperature / K],Coils[Coil],"",1))</f>
        <v>Trinium</v>
      </c>
      <c r="U19" s="12" t="str">
        <f>IF(ABS[[#This Row],[Base Temperature / K]]="","",_xlfn.XLOOKUP(ABS[[#This Row],[Base Temperature / K]]+(1800*3),Coils[Temperature / K],Coils[Coil],"",1))</f>
        <v>Tritanium</v>
      </c>
      <c r="V19" s="12" t="str">
        <f>IF(ABS[[#This Row],[Base Temperature / K]]="","",_xlfn.XLOOKUP(ABS[[#This Row],[Base Temperature / K]]+(1800*4),Coils[Temperature / K],Coils[Coil],"",1))</f>
        <v/>
      </c>
      <c r="W19" s="12" t="str">
        <f>IF(ABS[[#This Row],[Base Temperature / K]]="","",_xlfn.XLOOKUP(ABS[[#This Row],[Base Temperature / K]]+(1800*5),Coils[Temperature / K],Coils[Coil],"",1))</f>
        <v/>
      </c>
      <c r="X19" s="12" t="str">
        <f>ABS[[#This Row],[Base voltage]]</f>
        <v>LuV</v>
      </c>
      <c r="Y19" s="12" t="str">
        <f>ABS[[#This Row],[Base coils]]</f>
        <v>Tungstensteel</v>
      </c>
      <c r="Z19" s="11">
        <f>IFERROR(_xlfn.XLOOKUP(ABS[[#This Row],[Coils]],Coils[Coil],Coils[Temperature / K],"",1)+((_xlfn.XLOOKUP(ABS[[#This Row],[Energy hatch]],Voltage[Voltage],Voltage[Voltage tier],"",0)-1)*100),"")</f>
        <v>4900</v>
      </c>
      <c r="AA19" s="13">
        <f>IFERROR(0.95^ROUNDDOWN((ABS[[#This Row],[Heat capacity / K]]-ABS[[#This Row],[Base Temperature / K]])/900,0),"")</f>
        <v>1</v>
      </c>
      <c r="AB19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30720</v>
      </c>
      <c r="AC19" s="11">
        <f>ABS[[#This Row],[EU/t]]*4</f>
        <v>122880</v>
      </c>
      <c r="AD19" s="14">
        <f>IFERROR(1/(2^ROUNDDOWN((ABS[[#This Row],[Heat capacity / K]]-ABS[[#This Row],[Base Temperature / K]])/1800,0)),"")</f>
        <v>1</v>
      </c>
      <c r="AE19" s="14">
        <f>IFERROR(1/2^(_xlfn.XLOOKUP(ABS[[#This Row],[Energy hatch]],Voltage[Voltage],Voltage[Voltage tier],"",0)-(_xlfn.XLOOKUP(ABS[[#This Row],[Base voltage]],Voltage[Voltage],Voltage[Voltage tier],"",0))),"")</f>
        <v>1</v>
      </c>
      <c r="AF19" s="15">
        <f>IFERROR(ABS[[#This Row],[Coil overclock ]]*ABS[[#This Row],[Energy overclock]],"")</f>
        <v>1</v>
      </c>
      <c r="AG19" s="16">
        <f>IFERROR(IF(ROUNDDOWN(ABS[[#This Row],[Total OC]]*ABS[[#This Row],[Base duration / s]],1)&lt;0.1,0.1,ROUNDDOWN(ABS[[#This Row],[Total OC]]*ABS[[#This Row],[Base duration / s]],1)),"")</f>
        <v>135</v>
      </c>
      <c r="AH19" s="19">
        <f>ABS[[#This Row],[Net duration / s]]/ABS[[#This Row],[Yield / ingots]]</f>
        <v>33.75</v>
      </c>
    </row>
    <row r="20" spans="2:34" x14ac:dyDescent="0.25">
      <c r="B20" s="10" t="s">
        <v>92</v>
      </c>
      <c r="C20" s="10">
        <v>2</v>
      </c>
      <c r="D20" s="10" t="s">
        <v>52</v>
      </c>
      <c r="E20" s="10" t="s">
        <v>70</v>
      </c>
      <c r="F20" s="10"/>
      <c r="G20" s="10"/>
      <c r="H20" s="10"/>
      <c r="I20" s="10"/>
      <c r="J20" s="11">
        <v>1920</v>
      </c>
      <c r="K20" s="12" t="str">
        <f>_xlfn.XLOOKUP(ABS[[#This Row],[Base EU/T]],Voltage[Voltage / V],Voltage[Voltage],"",1)</f>
        <v>EV</v>
      </c>
      <c r="L20" s="18">
        <v>180</v>
      </c>
      <c r="M20" s="11">
        <v>4500</v>
      </c>
      <c r="N20" s="11">
        <v>432</v>
      </c>
      <c r="O20" s="11">
        <f>ABS[[#This Row],[Yield / L]]/144</f>
        <v>3</v>
      </c>
      <c r="P20" s="17">
        <f>ABS[[#This Row],[Base duration / s]]/ABS[[#This Row],[Yield / ingots]]</f>
        <v>60</v>
      </c>
      <c r="Q20" s="12"/>
      <c r="R20" s="12" t="str">
        <f>_xlfn.XLOOKUP(ABS[[#This Row],[Base Temperature / K]],Coils[Temperature / K],Coils[Coil],"",1)</f>
        <v>Tungstensteel</v>
      </c>
      <c r="S20" s="12" t="str">
        <f>IF(ABS[[#This Row],[Base Temperature / K]]="","",_xlfn.XLOOKUP(ABS[[#This Row],[Base Temperature / K]]+(1800*1),Coils[Temperature / K],Coils[Coil],"",1))</f>
        <v>Naquadah</v>
      </c>
      <c r="T20" s="12" t="str">
        <f>IF(ABS[[#This Row],[Base Temperature / K]]="","",_xlfn.XLOOKUP(ABS[[#This Row],[Base Temperature / K]]+(1800*2),Coils[Temperature / K],Coils[Coil],"",1))</f>
        <v>Trinium</v>
      </c>
      <c r="U20" s="12" t="str">
        <f>IF(ABS[[#This Row],[Base Temperature / K]]="","",_xlfn.XLOOKUP(ABS[[#This Row],[Base Temperature / K]]+(1800*3),Coils[Temperature / K],Coils[Coil],"",1))</f>
        <v>Tritanium</v>
      </c>
      <c r="V20" s="12" t="str">
        <f>IF(ABS[[#This Row],[Base Temperature / K]]="","",_xlfn.XLOOKUP(ABS[[#This Row],[Base Temperature / K]]+(1800*4),Coils[Temperature / K],Coils[Coil],"",1))</f>
        <v/>
      </c>
      <c r="W20" s="12" t="str">
        <f>IF(ABS[[#This Row],[Base Temperature / K]]="","",_xlfn.XLOOKUP(ABS[[#This Row],[Base Temperature / K]]+(1800*5),Coils[Temperature / K],Coils[Coil],"",1))</f>
        <v/>
      </c>
      <c r="X20" s="12" t="str">
        <f>ABS[[#This Row],[Base voltage]]</f>
        <v>EV</v>
      </c>
      <c r="Y20" s="12" t="str">
        <f>ABS[[#This Row],[Base coils]]</f>
        <v>Tungstensteel</v>
      </c>
      <c r="Z20" s="11">
        <f>IFERROR(_xlfn.XLOOKUP(ABS[[#This Row],[Coils]],Coils[Coil],Coils[Temperature / K],"",1)+((_xlfn.XLOOKUP(ABS[[#This Row],[Energy hatch]],Voltage[Voltage],Voltage[Voltage tier],"",0)-1)*100),"")</f>
        <v>4700</v>
      </c>
      <c r="AA20" s="13">
        <f>IFERROR(0.95^ROUNDDOWN((ABS[[#This Row],[Heat capacity / K]]-ABS[[#This Row],[Base Temperature / K]])/900,0),"")</f>
        <v>1</v>
      </c>
      <c r="AB20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1920</v>
      </c>
      <c r="AC20" s="11">
        <f>ABS[[#This Row],[EU/t]]*4</f>
        <v>7680</v>
      </c>
      <c r="AD20" s="14">
        <f>IFERROR(1/(2^ROUNDDOWN((ABS[[#This Row],[Heat capacity / K]]-ABS[[#This Row],[Base Temperature / K]])/1800,0)),"")</f>
        <v>1</v>
      </c>
      <c r="AE20" s="14">
        <f>IFERROR(1/2^(_xlfn.XLOOKUP(ABS[[#This Row],[Energy hatch]],Voltage[Voltage],Voltage[Voltage tier],"",0)-(_xlfn.XLOOKUP(ABS[[#This Row],[Base voltage]],Voltage[Voltage],Voltage[Voltage tier],"",0))),"")</f>
        <v>1</v>
      </c>
      <c r="AF20" s="15">
        <f>IFERROR(ABS[[#This Row],[Coil overclock ]]*ABS[[#This Row],[Energy overclock]],"")</f>
        <v>1</v>
      </c>
      <c r="AG20" s="16">
        <f>IFERROR(IF(ROUNDDOWN(ABS[[#This Row],[Total OC]]*ABS[[#This Row],[Base duration / s]],1)&lt;0.1,0.1,ROUNDDOWN(ABS[[#This Row],[Total OC]]*ABS[[#This Row],[Base duration / s]],1)),"")</f>
        <v>180</v>
      </c>
      <c r="AH20" s="19">
        <f>ABS[[#This Row],[Net duration / s]]/ABS[[#This Row],[Yield / ingots]]</f>
        <v>60</v>
      </c>
    </row>
    <row r="21" spans="2:34" x14ac:dyDescent="0.25">
      <c r="B21" s="10" t="s">
        <v>19</v>
      </c>
      <c r="C21" s="10">
        <v>2</v>
      </c>
      <c r="D21" s="10" t="s">
        <v>84</v>
      </c>
      <c r="E21" s="10" t="s">
        <v>154</v>
      </c>
      <c r="F21" s="10"/>
      <c r="G21" s="10"/>
      <c r="H21" s="10"/>
      <c r="I21" s="10"/>
      <c r="J21" s="11">
        <v>1920</v>
      </c>
      <c r="K21" s="12" t="str">
        <f>_xlfn.XLOOKUP(ABS[[#This Row],[Base EU/T]],Voltage[Voltage / V],Voltage[Voltage],"",1)</f>
        <v>EV</v>
      </c>
      <c r="L21" s="18">
        <v>180</v>
      </c>
      <c r="M21" s="11">
        <v>4500</v>
      </c>
      <c r="N21" s="11">
        <v>576</v>
      </c>
      <c r="O21" s="11">
        <f>ABS[[#This Row],[Yield / L]]/144</f>
        <v>4</v>
      </c>
      <c r="P21" s="17">
        <f>ABS[[#This Row],[Base duration / s]]/ABS[[#This Row],[Yield / ingots]]</f>
        <v>45</v>
      </c>
      <c r="Q21" s="12"/>
      <c r="R21" s="12" t="str">
        <f>_xlfn.XLOOKUP(ABS[[#This Row],[Base Temperature / K]],Coils[Temperature / K],Coils[Coil],"",1)</f>
        <v>Tungstensteel</v>
      </c>
      <c r="S21" s="12" t="str">
        <f>IF(ABS[[#This Row],[Base Temperature / K]]="","",_xlfn.XLOOKUP(ABS[[#This Row],[Base Temperature / K]]+(1800*1),Coils[Temperature / K],Coils[Coil],"",1))</f>
        <v>Naquadah</v>
      </c>
      <c r="T21" s="12" t="str">
        <f>IF(ABS[[#This Row],[Base Temperature / K]]="","",_xlfn.XLOOKUP(ABS[[#This Row],[Base Temperature / K]]+(1800*2),Coils[Temperature / K],Coils[Coil],"",1))</f>
        <v>Trinium</v>
      </c>
      <c r="U21" s="12" t="str">
        <f>IF(ABS[[#This Row],[Base Temperature / K]]="","",_xlfn.XLOOKUP(ABS[[#This Row],[Base Temperature / K]]+(1800*3),Coils[Temperature / K],Coils[Coil],"",1))</f>
        <v>Tritanium</v>
      </c>
      <c r="V21" s="12" t="str">
        <f>IF(ABS[[#This Row],[Base Temperature / K]]="","",_xlfn.XLOOKUP(ABS[[#This Row],[Base Temperature / K]]+(1800*4),Coils[Temperature / K],Coils[Coil],"",1))</f>
        <v/>
      </c>
      <c r="W21" s="12" t="str">
        <f>IF(ABS[[#This Row],[Base Temperature / K]]="","",_xlfn.XLOOKUP(ABS[[#This Row],[Base Temperature / K]]+(1800*5),Coils[Temperature / K],Coils[Coil],"",1))</f>
        <v/>
      </c>
      <c r="X21" s="12" t="str">
        <f>ABS[[#This Row],[Base voltage]]</f>
        <v>EV</v>
      </c>
      <c r="Y21" s="12" t="str">
        <f>ABS[[#This Row],[Base coils]]</f>
        <v>Tungstensteel</v>
      </c>
      <c r="Z21" s="11">
        <f>IFERROR(_xlfn.XLOOKUP(ABS[[#This Row],[Coils]],Coils[Coil],Coils[Temperature / K],"",1)+((_xlfn.XLOOKUP(ABS[[#This Row],[Energy hatch]],Voltage[Voltage],Voltage[Voltage tier],"",0)-1)*100),"")</f>
        <v>4700</v>
      </c>
      <c r="AA21" s="13">
        <f>IFERROR(0.95^ROUNDDOWN((ABS[[#This Row],[Heat capacity / K]]-ABS[[#This Row],[Base Temperature / K]])/900,0),"")</f>
        <v>1</v>
      </c>
      <c r="AB21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1920</v>
      </c>
      <c r="AC21" s="11">
        <f>ABS[[#This Row],[EU/t]]*4</f>
        <v>7680</v>
      </c>
      <c r="AD21" s="14">
        <f>IFERROR(1/(2^ROUNDDOWN((ABS[[#This Row],[Heat capacity / K]]-ABS[[#This Row],[Base Temperature / K]])/1800,0)),"")</f>
        <v>1</v>
      </c>
      <c r="AE21" s="14">
        <f>IFERROR(1/2^(_xlfn.XLOOKUP(ABS[[#This Row],[Energy hatch]],Voltage[Voltage],Voltage[Voltage tier],"",0)-(_xlfn.XLOOKUP(ABS[[#This Row],[Base voltage]],Voltage[Voltage],Voltage[Voltage tier],"",0))),"")</f>
        <v>1</v>
      </c>
      <c r="AF21" s="15">
        <f>IFERROR(ABS[[#This Row],[Coil overclock ]]*ABS[[#This Row],[Energy overclock]],"")</f>
        <v>1</v>
      </c>
      <c r="AG21" s="16">
        <f>IFERROR(IF(ROUNDDOWN(ABS[[#This Row],[Total OC]]*ABS[[#This Row],[Base duration / s]],1)&lt;0.1,0.1,ROUNDDOWN(ABS[[#This Row],[Total OC]]*ABS[[#This Row],[Base duration / s]],1)),"")</f>
        <v>180</v>
      </c>
      <c r="AH21" s="19">
        <f>ABS[[#This Row],[Net duration / s]]/ABS[[#This Row],[Yield / ingots]]</f>
        <v>45</v>
      </c>
    </row>
    <row r="22" spans="2:34" x14ac:dyDescent="0.25">
      <c r="B22" s="10" t="s">
        <v>137</v>
      </c>
      <c r="C22" s="10">
        <v>3</v>
      </c>
      <c r="D22" s="10" t="s">
        <v>140</v>
      </c>
      <c r="E22" s="10" t="s">
        <v>141</v>
      </c>
      <c r="F22" s="10" t="s">
        <v>142</v>
      </c>
      <c r="G22" s="10"/>
      <c r="H22" s="10"/>
      <c r="I22" s="10"/>
      <c r="J22" s="11">
        <v>120</v>
      </c>
      <c r="K22" s="12" t="str">
        <f>_xlfn.XLOOKUP(ABS[[#This Row],[Base EU/T]],Voltage[Voltage / V],Voltage[Voltage],"",1)</f>
        <v>MV</v>
      </c>
      <c r="L22" s="18">
        <v>10</v>
      </c>
      <c r="M22" s="11">
        <v>1000</v>
      </c>
      <c r="N22" s="11">
        <v>576</v>
      </c>
      <c r="O22" s="11">
        <f>ABS[[#This Row],[Yield / L]]/144</f>
        <v>4</v>
      </c>
      <c r="P22" s="17">
        <f>ABS[[#This Row],[Base duration / s]]/ABS[[#This Row],[Yield / ingots]]</f>
        <v>2.5</v>
      </c>
      <c r="Q22" s="12"/>
      <c r="R22" s="12" t="str">
        <f>_xlfn.XLOOKUP(ABS[[#This Row],[Base Temperature / K]],Coils[Temperature / K],Coils[Coil],"",1)</f>
        <v>Cupronickel</v>
      </c>
      <c r="S22" s="12" t="str">
        <f>IF(ABS[[#This Row],[Base Temperature / K]]="","",_xlfn.XLOOKUP(ABS[[#This Row],[Base Temperature / K]]+(1800*1),Coils[Temperature / K],Coils[Coil],"",1))</f>
        <v>Nichrome</v>
      </c>
      <c r="T22" s="12" t="str">
        <f>IF(ABS[[#This Row],[Base Temperature / K]]="","",_xlfn.XLOOKUP(ABS[[#This Row],[Base Temperature / K]]+(1800*2),Coils[Temperature / K],Coils[Coil],"",1))</f>
        <v>HSS-G</v>
      </c>
      <c r="U22" s="12" t="str">
        <f>IF(ABS[[#This Row],[Base Temperature / K]]="","",_xlfn.XLOOKUP(ABS[[#This Row],[Base Temperature / K]]+(1800*3),Coils[Temperature / K],Coils[Coil],"",1))</f>
        <v>Naquadah</v>
      </c>
      <c r="V22" s="12" t="str">
        <f>IF(ABS[[#This Row],[Base Temperature / K]]="","",_xlfn.XLOOKUP(ABS[[#This Row],[Base Temperature / K]]+(1800*4),Coils[Temperature / K],Coils[Coil],"",1))</f>
        <v>Trinium</v>
      </c>
      <c r="W22" s="12" t="str">
        <f>IF(ABS[[#This Row],[Base Temperature / K]]="","",_xlfn.XLOOKUP(ABS[[#This Row],[Base Temperature / K]]+(1800*5),Coils[Temperature / K],Coils[Coil],"",1))</f>
        <v>Tritanium</v>
      </c>
      <c r="X22" s="12" t="str">
        <f>ABS[[#This Row],[Base voltage]]</f>
        <v>MV</v>
      </c>
      <c r="Y22" s="12" t="str">
        <f>ABS[[#This Row],[Base coils]]</f>
        <v>Cupronickel</v>
      </c>
      <c r="Z22" s="11">
        <f>IFERROR(_xlfn.XLOOKUP(ABS[[#This Row],[Coils]],Coils[Coil],Coils[Temperature / K],"",1)+((_xlfn.XLOOKUP(ABS[[#This Row],[Energy hatch]],Voltage[Voltage],Voltage[Voltage tier],"",0)-1)*100),"")</f>
        <v>1800</v>
      </c>
      <c r="AA22" s="13">
        <f>IFERROR(0.95^ROUNDDOWN((ABS[[#This Row],[Heat capacity / K]]-ABS[[#This Row],[Base Temperature / K]])/900,0),"")</f>
        <v>1</v>
      </c>
      <c r="AB22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120</v>
      </c>
      <c r="AC22" s="11">
        <f>ABS[[#This Row],[EU/t]]*4</f>
        <v>480</v>
      </c>
      <c r="AD22" s="14">
        <f>IFERROR(1/(2^ROUNDDOWN((ABS[[#This Row],[Heat capacity / K]]-ABS[[#This Row],[Base Temperature / K]])/1800,0)),"")</f>
        <v>1</v>
      </c>
      <c r="AE22" s="14">
        <f>IFERROR(1/2^(_xlfn.XLOOKUP(ABS[[#This Row],[Energy hatch]],Voltage[Voltage],Voltage[Voltage tier],"",0)-(_xlfn.XLOOKUP(ABS[[#This Row],[Base voltage]],Voltage[Voltage],Voltage[Voltage tier],"",0))),"")</f>
        <v>1</v>
      </c>
      <c r="AF22" s="15">
        <f>IFERROR(ABS[[#This Row],[Coil overclock ]]*ABS[[#This Row],[Energy overclock]],"")</f>
        <v>1</v>
      </c>
      <c r="AG22" s="16">
        <f>IFERROR(IF(ROUNDDOWN(ABS[[#This Row],[Total OC]]*ABS[[#This Row],[Base duration / s]],1)&lt;0.1,0.1,ROUNDDOWN(ABS[[#This Row],[Total OC]]*ABS[[#This Row],[Base duration / s]],1)),"")</f>
        <v>10</v>
      </c>
      <c r="AH22" s="19">
        <f>ABS[[#This Row],[Net duration / s]]/ABS[[#This Row],[Yield / ingots]]</f>
        <v>2.5</v>
      </c>
    </row>
    <row r="23" spans="2:34" x14ac:dyDescent="0.25">
      <c r="B23" s="10" t="s">
        <v>37</v>
      </c>
      <c r="C23" s="10">
        <v>3</v>
      </c>
      <c r="D23" s="10" t="s">
        <v>170</v>
      </c>
      <c r="E23" s="10" t="s">
        <v>171</v>
      </c>
      <c r="F23" s="10" t="s">
        <v>172</v>
      </c>
      <c r="G23" s="10" t="s">
        <v>173</v>
      </c>
      <c r="H23" s="10"/>
      <c r="I23" s="10"/>
      <c r="J23" s="11">
        <v>120</v>
      </c>
      <c r="K23" s="12" t="str">
        <f>_xlfn.XLOOKUP(ABS[[#This Row],[Base EU/T]],Voltage[Voltage / V],Voltage[Voltage],"",1)</f>
        <v>MV</v>
      </c>
      <c r="L23" s="18">
        <v>144</v>
      </c>
      <c r="M23" s="11">
        <v>1000</v>
      </c>
      <c r="N23" s="11">
        <v>1296</v>
      </c>
      <c r="O23" s="11">
        <f>ABS[[#This Row],[Yield / L]]/144</f>
        <v>9</v>
      </c>
      <c r="P23" s="17">
        <f>ABS[[#This Row],[Base duration / s]]/ABS[[#This Row],[Yield / ingots]]</f>
        <v>16</v>
      </c>
      <c r="Q23" s="12"/>
      <c r="R23" s="12" t="str">
        <f>_xlfn.XLOOKUP(ABS[[#This Row],[Base Temperature / K]],Coils[Temperature / K],Coils[Coil],"",1)</f>
        <v>Cupronickel</v>
      </c>
      <c r="S23" s="12" t="str">
        <f>IF(ABS[[#This Row],[Base Temperature / K]]="","",_xlfn.XLOOKUP(ABS[[#This Row],[Base Temperature / K]]+(1800*1),Coils[Temperature / K],Coils[Coil],"",1))</f>
        <v>Nichrome</v>
      </c>
      <c r="T23" s="12" t="str">
        <f>IF(ABS[[#This Row],[Base Temperature / K]]="","",_xlfn.XLOOKUP(ABS[[#This Row],[Base Temperature / K]]+(1800*2),Coils[Temperature / K],Coils[Coil],"",1))</f>
        <v>HSS-G</v>
      </c>
      <c r="U23" s="12" t="str">
        <f>IF(ABS[[#This Row],[Base Temperature / K]]="","",_xlfn.XLOOKUP(ABS[[#This Row],[Base Temperature / K]]+(1800*3),Coils[Temperature / K],Coils[Coil],"",1))</f>
        <v>Naquadah</v>
      </c>
      <c r="V23" s="12" t="str">
        <f>IF(ABS[[#This Row],[Base Temperature / K]]="","",_xlfn.XLOOKUP(ABS[[#This Row],[Base Temperature / K]]+(1800*4),Coils[Temperature / K],Coils[Coil],"",1))</f>
        <v>Trinium</v>
      </c>
      <c r="W23" s="12" t="str">
        <f>IF(ABS[[#This Row],[Base Temperature / K]]="","",_xlfn.XLOOKUP(ABS[[#This Row],[Base Temperature / K]]+(1800*5),Coils[Temperature / K],Coils[Coil],"",1))</f>
        <v>Tritanium</v>
      </c>
      <c r="X23" s="12" t="str">
        <f>ABS[[#This Row],[Base voltage]]</f>
        <v>MV</v>
      </c>
      <c r="Y23" s="12" t="str">
        <f>ABS[[#This Row],[Base coils]]</f>
        <v>Cupronickel</v>
      </c>
      <c r="Z23" s="11">
        <f>IFERROR(_xlfn.XLOOKUP(ABS[[#This Row],[Coils]],Coils[Coil],Coils[Temperature / K],"",1)+((_xlfn.XLOOKUP(ABS[[#This Row],[Energy hatch]],Voltage[Voltage],Voltage[Voltage tier],"",0)-1)*100),"")</f>
        <v>1800</v>
      </c>
      <c r="AA23" s="13">
        <f>IFERROR(0.95^ROUNDDOWN((ABS[[#This Row],[Heat capacity / K]]-ABS[[#This Row],[Base Temperature / K]])/900,0),"")</f>
        <v>1</v>
      </c>
      <c r="AB23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120</v>
      </c>
      <c r="AC23" s="11">
        <f>ABS[[#This Row],[EU/t]]*4</f>
        <v>480</v>
      </c>
      <c r="AD23" s="14">
        <f>IFERROR(1/(2^ROUNDDOWN((ABS[[#This Row],[Heat capacity / K]]-ABS[[#This Row],[Base Temperature / K]])/1800,0)),"")</f>
        <v>1</v>
      </c>
      <c r="AE23" s="14">
        <f>IFERROR(1/2^(_xlfn.XLOOKUP(ABS[[#This Row],[Energy hatch]],Voltage[Voltage],Voltage[Voltage tier],"",0)-(_xlfn.XLOOKUP(ABS[[#This Row],[Base voltage]],Voltage[Voltage],Voltage[Voltage tier],"",0))),"")</f>
        <v>1</v>
      </c>
      <c r="AF23" s="15">
        <f>IFERROR(ABS[[#This Row],[Coil overclock ]]*ABS[[#This Row],[Energy overclock]],"")</f>
        <v>1</v>
      </c>
      <c r="AG23" s="16">
        <f>IFERROR(IF(ROUNDDOWN(ABS[[#This Row],[Total OC]]*ABS[[#This Row],[Base duration / s]],1)&lt;0.1,0.1,ROUNDDOWN(ABS[[#This Row],[Total OC]]*ABS[[#This Row],[Base duration / s]],1)),"")</f>
        <v>144</v>
      </c>
      <c r="AH23" s="19">
        <f>ABS[[#This Row],[Net duration / s]]/ABS[[#This Row],[Yield / ingots]]</f>
        <v>16</v>
      </c>
    </row>
    <row r="24" spans="2:34" x14ac:dyDescent="0.25">
      <c r="B24" s="10" t="s">
        <v>145</v>
      </c>
      <c r="C24" s="10">
        <v>3</v>
      </c>
      <c r="D24" s="10" t="s">
        <v>147</v>
      </c>
      <c r="E24" s="10" t="s">
        <v>134</v>
      </c>
      <c r="F24" s="10" t="s">
        <v>148</v>
      </c>
      <c r="G24" s="10"/>
      <c r="H24" s="10"/>
      <c r="I24" s="10"/>
      <c r="J24" s="11">
        <v>120</v>
      </c>
      <c r="K24" s="12" t="str">
        <f>_xlfn.XLOOKUP(ABS[[#This Row],[Base EU/T]],Voltage[Voltage / V],Voltage[Voltage],"",1)</f>
        <v>MV</v>
      </c>
      <c r="L24" s="18">
        <v>60</v>
      </c>
      <c r="M24" s="11">
        <v>1250</v>
      </c>
      <c r="N24" s="11">
        <v>576</v>
      </c>
      <c r="O24" s="11">
        <f>ABS[[#This Row],[Yield / L]]/144</f>
        <v>4</v>
      </c>
      <c r="P24" s="17">
        <f>ABS[[#This Row],[Base duration / s]]/ABS[[#This Row],[Yield / ingots]]</f>
        <v>15</v>
      </c>
      <c r="Q24" s="12"/>
      <c r="R24" s="12" t="str">
        <f>_xlfn.XLOOKUP(ABS[[#This Row],[Base Temperature / K]],Coils[Temperature / K],Coils[Coil],"",1)</f>
        <v>Cupronickel</v>
      </c>
      <c r="S24" s="12" t="str">
        <f>IF(ABS[[#This Row],[Base Temperature / K]]="","",_xlfn.XLOOKUP(ABS[[#This Row],[Base Temperature / K]]+(1800*1),Coils[Temperature / K],Coils[Coil],"",1))</f>
        <v>Nichrome</v>
      </c>
      <c r="T24" s="12" t="str">
        <f>IF(ABS[[#This Row],[Base Temperature / K]]="","",_xlfn.XLOOKUP(ABS[[#This Row],[Base Temperature / K]]+(1800*2),Coils[Temperature / K],Coils[Coil],"",1))</f>
        <v>HSS-G</v>
      </c>
      <c r="U24" s="12" t="str">
        <f>IF(ABS[[#This Row],[Base Temperature / K]]="","",_xlfn.XLOOKUP(ABS[[#This Row],[Base Temperature / K]]+(1800*3),Coils[Temperature / K],Coils[Coil],"",1))</f>
        <v>Naquadah</v>
      </c>
      <c r="V24" s="12" t="str">
        <f>IF(ABS[[#This Row],[Base Temperature / K]]="","",_xlfn.XLOOKUP(ABS[[#This Row],[Base Temperature / K]]+(1800*4),Coils[Temperature / K],Coils[Coil],"",1))</f>
        <v>Trinium</v>
      </c>
      <c r="W24" s="12" t="str">
        <f>IF(ABS[[#This Row],[Base Temperature / K]]="","",_xlfn.XLOOKUP(ABS[[#This Row],[Base Temperature / K]]+(1800*5),Coils[Temperature / K],Coils[Coil],"",1))</f>
        <v>Tritanium</v>
      </c>
      <c r="X24" s="12" t="str">
        <f>ABS[[#This Row],[Base voltage]]</f>
        <v>MV</v>
      </c>
      <c r="Y24" s="12" t="str">
        <f>ABS[[#This Row],[Base coils]]</f>
        <v>Cupronickel</v>
      </c>
      <c r="Z24" s="11">
        <f>IFERROR(_xlfn.XLOOKUP(ABS[[#This Row],[Coils]],Coils[Coil],Coils[Temperature / K],"",1)+((_xlfn.XLOOKUP(ABS[[#This Row],[Energy hatch]],Voltage[Voltage],Voltage[Voltage tier],"",0)-1)*100),"")</f>
        <v>1800</v>
      </c>
      <c r="AA24" s="13">
        <f>IFERROR(0.95^ROUNDDOWN((ABS[[#This Row],[Heat capacity / K]]-ABS[[#This Row],[Base Temperature / K]])/900,0),"")</f>
        <v>1</v>
      </c>
      <c r="AB24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120</v>
      </c>
      <c r="AC24" s="11">
        <f>ABS[[#This Row],[EU/t]]*4</f>
        <v>480</v>
      </c>
      <c r="AD24" s="14">
        <f>IFERROR(1/(2^ROUNDDOWN((ABS[[#This Row],[Heat capacity / K]]-ABS[[#This Row],[Base Temperature / K]])/1800,0)),"")</f>
        <v>1</v>
      </c>
      <c r="AE24" s="14">
        <f>IFERROR(1/2^(_xlfn.XLOOKUP(ABS[[#This Row],[Energy hatch]],Voltage[Voltage],Voltage[Voltage tier],"",0)-(_xlfn.XLOOKUP(ABS[[#This Row],[Base voltage]],Voltage[Voltage],Voltage[Voltage tier],"",0))),"")</f>
        <v>1</v>
      </c>
      <c r="AF24" s="15">
        <f>IFERROR(ABS[[#This Row],[Coil overclock ]]*ABS[[#This Row],[Energy overclock]],"")</f>
        <v>1</v>
      </c>
      <c r="AG24" s="16">
        <f>IFERROR(IF(ROUNDDOWN(ABS[[#This Row],[Total OC]]*ABS[[#This Row],[Base duration / s]],1)&lt;0.1,0.1,ROUNDDOWN(ABS[[#This Row],[Total OC]]*ABS[[#This Row],[Base duration / s]],1)),"")</f>
        <v>60</v>
      </c>
      <c r="AH24" s="19">
        <f>ABS[[#This Row],[Net duration / s]]/ABS[[#This Row],[Yield / ingots]]</f>
        <v>15</v>
      </c>
    </row>
    <row r="25" spans="2:34" x14ac:dyDescent="0.25">
      <c r="B25" s="10" t="s">
        <v>91</v>
      </c>
      <c r="C25" s="10">
        <v>3</v>
      </c>
      <c r="D25" s="10" t="s">
        <v>84</v>
      </c>
      <c r="E25" s="10" t="s">
        <v>94</v>
      </c>
      <c r="F25" s="10" t="s">
        <v>170</v>
      </c>
      <c r="G25" s="10"/>
      <c r="H25" s="10"/>
      <c r="I25" s="10"/>
      <c r="J25" s="11">
        <v>120</v>
      </c>
      <c r="K25" s="12" t="str">
        <f>_xlfn.XLOOKUP(ABS[[#This Row],[Base EU/T]],Voltage[Voltage / V],Voltage[Voltage],"",1)</f>
        <v>MV</v>
      </c>
      <c r="L25" s="18">
        <v>269.64999999999998</v>
      </c>
      <c r="M25" s="11">
        <v>1435</v>
      </c>
      <c r="N25" s="11">
        <v>1296</v>
      </c>
      <c r="O25" s="11">
        <f>ABS[[#This Row],[Yield / L]]/144</f>
        <v>9</v>
      </c>
      <c r="P25" s="17">
        <f>ABS[[#This Row],[Base duration / s]]/ABS[[#This Row],[Yield / ingots]]</f>
        <v>29.961111111111109</v>
      </c>
      <c r="Q25" s="12"/>
      <c r="R25" s="12" t="str">
        <f>_xlfn.XLOOKUP(ABS[[#This Row],[Base Temperature / K]],Coils[Temperature / K],Coils[Coil],"",1)</f>
        <v>Cupronickel</v>
      </c>
      <c r="S25" s="12" t="str">
        <f>IF(ABS[[#This Row],[Base Temperature / K]]="","",_xlfn.XLOOKUP(ABS[[#This Row],[Base Temperature / K]]+(1800*1),Coils[Temperature / K],Coils[Coil],"",1))</f>
        <v>Nichrome</v>
      </c>
      <c r="T25" s="12" t="str">
        <f>IF(ABS[[#This Row],[Base Temperature / K]]="","",_xlfn.XLOOKUP(ABS[[#This Row],[Base Temperature / K]]+(1800*2),Coils[Temperature / K],Coils[Coil],"",1))</f>
        <v>HSS-G</v>
      </c>
      <c r="U25" s="12" t="str">
        <f>IF(ABS[[#This Row],[Base Temperature / K]]="","",_xlfn.XLOOKUP(ABS[[#This Row],[Base Temperature / K]]+(1800*3),Coils[Temperature / K],Coils[Coil],"",1))</f>
        <v>Naquadah</v>
      </c>
      <c r="V25" s="12" t="str">
        <f>IF(ABS[[#This Row],[Base Temperature / K]]="","",_xlfn.XLOOKUP(ABS[[#This Row],[Base Temperature / K]]+(1800*4),Coils[Temperature / K],Coils[Coil],"",1))</f>
        <v>Trinium</v>
      </c>
      <c r="W25" s="12" t="str">
        <f>IF(ABS[[#This Row],[Base Temperature / K]]="","",_xlfn.XLOOKUP(ABS[[#This Row],[Base Temperature / K]]+(1800*5),Coils[Temperature / K],Coils[Coil],"",1))</f>
        <v>Tritanium</v>
      </c>
      <c r="X25" s="12" t="str">
        <f>ABS[[#This Row],[Base voltage]]</f>
        <v>MV</v>
      </c>
      <c r="Y25" s="12" t="str">
        <f>ABS[[#This Row],[Base coils]]</f>
        <v>Cupronickel</v>
      </c>
      <c r="Z25" s="11">
        <f>IFERROR(_xlfn.XLOOKUP(ABS[[#This Row],[Coils]],Coils[Coil],Coils[Temperature / K],"",1)+((_xlfn.XLOOKUP(ABS[[#This Row],[Energy hatch]],Voltage[Voltage],Voltage[Voltage tier],"",0)-1)*100),"")</f>
        <v>1800</v>
      </c>
      <c r="AA25" s="13">
        <f>IFERROR(0.95^ROUNDDOWN((ABS[[#This Row],[Heat capacity / K]]-ABS[[#This Row],[Base Temperature / K]])/900,0),"")</f>
        <v>1</v>
      </c>
      <c r="AB25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120</v>
      </c>
      <c r="AC25" s="11">
        <f>ABS[[#This Row],[EU/t]]*4</f>
        <v>480</v>
      </c>
      <c r="AD25" s="14">
        <f>IFERROR(1/(2^ROUNDDOWN((ABS[[#This Row],[Heat capacity / K]]-ABS[[#This Row],[Base Temperature / K]])/1800,0)),"")</f>
        <v>1</v>
      </c>
      <c r="AE25" s="14">
        <f>IFERROR(1/2^(_xlfn.XLOOKUP(ABS[[#This Row],[Energy hatch]],Voltage[Voltage],Voltage[Voltage tier],"",0)-(_xlfn.XLOOKUP(ABS[[#This Row],[Base voltage]],Voltage[Voltage],Voltage[Voltage tier],"",0))),"")</f>
        <v>1</v>
      </c>
      <c r="AF25" s="15">
        <f>IFERROR(ABS[[#This Row],[Coil overclock ]]*ABS[[#This Row],[Energy overclock]],"")</f>
        <v>1</v>
      </c>
      <c r="AG25" s="16">
        <f>IFERROR(IF(ROUNDDOWN(ABS[[#This Row],[Total OC]]*ABS[[#This Row],[Base duration / s]],1)&lt;0.1,0.1,ROUNDDOWN(ABS[[#This Row],[Total OC]]*ABS[[#This Row],[Base duration / s]],1)),"")</f>
        <v>269.60000000000002</v>
      </c>
      <c r="AH25" s="19">
        <f>ABS[[#This Row],[Net duration / s]]/ABS[[#This Row],[Yield / ingots]]</f>
        <v>29.955555555555559</v>
      </c>
    </row>
    <row r="26" spans="2:34" x14ac:dyDescent="0.25">
      <c r="B26" s="10" t="s">
        <v>54</v>
      </c>
      <c r="C26" s="10">
        <v>3</v>
      </c>
      <c r="D26" s="10" t="s">
        <v>161</v>
      </c>
      <c r="E26" s="10" t="s">
        <v>41</v>
      </c>
      <c r="F26" s="10" t="s">
        <v>94</v>
      </c>
      <c r="G26" s="10"/>
      <c r="H26" s="10"/>
      <c r="I26" s="10"/>
      <c r="J26" s="11">
        <v>120</v>
      </c>
      <c r="K26" s="12" t="str">
        <f>_xlfn.XLOOKUP(ABS[[#This Row],[Base EU/T]],Voltage[Voltage / V],Voltage[Voltage],"",1)</f>
        <v>MV</v>
      </c>
      <c r="L26" s="18">
        <v>112.5</v>
      </c>
      <c r="M26" s="11">
        <v>1800</v>
      </c>
      <c r="N26" s="11">
        <v>432</v>
      </c>
      <c r="O26" s="11">
        <f>ABS[[#This Row],[Yield / L]]/144</f>
        <v>3</v>
      </c>
      <c r="P26" s="17">
        <f>ABS[[#This Row],[Base duration / s]]/ABS[[#This Row],[Yield / ingots]]</f>
        <v>37.5</v>
      </c>
      <c r="Q26" s="12"/>
      <c r="R26" s="12" t="str">
        <f>_xlfn.XLOOKUP(ABS[[#This Row],[Base Temperature / K]],Coils[Temperature / K],Coils[Coil],"",1)</f>
        <v>Cupronickel</v>
      </c>
      <c r="S26" s="12" t="str">
        <f>IF(ABS[[#This Row],[Base Temperature / K]]="","",_xlfn.XLOOKUP(ABS[[#This Row],[Base Temperature / K]]+(1800*1),Coils[Temperature / K],Coils[Coil],"",1))</f>
        <v>Nichrome</v>
      </c>
      <c r="T26" s="12" t="str">
        <f>IF(ABS[[#This Row],[Base Temperature / K]]="","",_xlfn.XLOOKUP(ABS[[#This Row],[Base Temperature / K]]+(1800*2),Coils[Temperature / K],Coils[Coil],"",1))</f>
        <v>HSS-G</v>
      </c>
      <c r="U26" s="12" t="str">
        <f>IF(ABS[[#This Row],[Base Temperature / K]]="","",_xlfn.XLOOKUP(ABS[[#This Row],[Base Temperature / K]]+(1800*3),Coils[Temperature / K],Coils[Coil],"",1))</f>
        <v>Naquadah</v>
      </c>
      <c r="V26" s="12" t="str">
        <f>IF(ABS[[#This Row],[Base Temperature / K]]="","",_xlfn.XLOOKUP(ABS[[#This Row],[Base Temperature / K]]+(1800*4),Coils[Temperature / K],Coils[Coil],"",1))</f>
        <v>Trinium</v>
      </c>
      <c r="W26" s="12" t="str">
        <f>IF(ABS[[#This Row],[Base Temperature / K]]="","",_xlfn.XLOOKUP(ABS[[#This Row],[Base Temperature / K]]+(1800*5),Coils[Temperature / K],Coils[Coil],"",1))</f>
        <v>Tritanium</v>
      </c>
      <c r="X26" s="12" t="str">
        <f>ABS[[#This Row],[Base voltage]]</f>
        <v>MV</v>
      </c>
      <c r="Y26" s="12" t="str">
        <f>ABS[[#This Row],[Base coils]]</f>
        <v>Cupronickel</v>
      </c>
      <c r="Z26" s="11">
        <f>IFERROR(_xlfn.XLOOKUP(ABS[[#This Row],[Coils]],Coils[Coil],Coils[Temperature / K],"",1)+((_xlfn.XLOOKUP(ABS[[#This Row],[Energy hatch]],Voltage[Voltage],Voltage[Voltage tier],"",0)-1)*100),"")</f>
        <v>1800</v>
      </c>
      <c r="AA26" s="13">
        <f>IFERROR(0.95^ROUNDDOWN((ABS[[#This Row],[Heat capacity / K]]-ABS[[#This Row],[Base Temperature / K]])/900,0),"")</f>
        <v>1</v>
      </c>
      <c r="AB26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120</v>
      </c>
      <c r="AC26" s="11">
        <f>ABS[[#This Row],[EU/t]]*4</f>
        <v>480</v>
      </c>
      <c r="AD26" s="14">
        <f>IFERROR(1/(2^ROUNDDOWN((ABS[[#This Row],[Heat capacity / K]]-ABS[[#This Row],[Base Temperature / K]])/1800,0)),"")</f>
        <v>1</v>
      </c>
      <c r="AE26" s="14">
        <f>IFERROR(1/2^(_xlfn.XLOOKUP(ABS[[#This Row],[Energy hatch]],Voltage[Voltage],Voltage[Voltage tier],"",0)-(_xlfn.XLOOKUP(ABS[[#This Row],[Base voltage]],Voltage[Voltage],Voltage[Voltage tier],"",0))),"")</f>
        <v>1</v>
      </c>
      <c r="AF26" s="15">
        <f>IFERROR(ABS[[#This Row],[Coil overclock ]]*ABS[[#This Row],[Energy overclock]],"")</f>
        <v>1</v>
      </c>
      <c r="AG26" s="16">
        <f>IFERROR(IF(ROUNDDOWN(ABS[[#This Row],[Total OC]]*ABS[[#This Row],[Base duration / s]],1)&lt;0.1,0.1,ROUNDDOWN(ABS[[#This Row],[Total OC]]*ABS[[#This Row],[Base duration / s]],1)),"")</f>
        <v>112.5</v>
      </c>
      <c r="AH26" s="19">
        <f>ABS[[#This Row],[Net duration / s]]/ABS[[#This Row],[Yield / ingots]]</f>
        <v>37.5</v>
      </c>
    </row>
    <row r="27" spans="2:34" x14ac:dyDescent="0.25">
      <c r="B27" s="10" t="s">
        <v>175</v>
      </c>
      <c r="C27" s="10">
        <v>3</v>
      </c>
      <c r="D27" s="10" t="s">
        <v>74</v>
      </c>
      <c r="E27" s="10" t="s">
        <v>100</v>
      </c>
      <c r="F27" s="10" t="s">
        <v>51</v>
      </c>
      <c r="G27" s="10"/>
      <c r="H27" s="10"/>
      <c r="I27" s="10"/>
      <c r="J27" s="11">
        <v>7680</v>
      </c>
      <c r="K27" s="12" t="str">
        <f>_xlfn.XLOOKUP(ABS[[#This Row],[Base EU/T]],Voltage[Voltage / V],Voltage[Voltage],"",1)</f>
        <v>IV</v>
      </c>
      <c r="L27" s="18">
        <v>180</v>
      </c>
      <c r="M27" s="11">
        <v>4500</v>
      </c>
      <c r="N27" s="11">
        <v>864</v>
      </c>
      <c r="O27" s="11">
        <f>ABS[[#This Row],[Yield / L]]/144</f>
        <v>6</v>
      </c>
      <c r="P27" s="17">
        <f>ABS[[#This Row],[Base duration / s]]/ABS[[#This Row],[Yield / ingots]]</f>
        <v>30</v>
      </c>
      <c r="Q27" s="12"/>
      <c r="R27" s="12" t="str">
        <f>_xlfn.XLOOKUP(ABS[[#This Row],[Base Temperature / K]],Coils[Temperature / K],Coils[Coil],"",1)</f>
        <v>Tungstensteel</v>
      </c>
      <c r="S27" s="12" t="str">
        <f>IF(ABS[[#This Row],[Base Temperature / K]]="","",_xlfn.XLOOKUP(ABS[[#This Row],[Base Temperature / K]]+(1800*1),Coils[Temperature / K],Coils[Coil],"",1))</f>
        <v>Naquadah</v>
      </c>
      <c r="T27" s="12" t="str">
        <f>IF(ABS[[#This Row],[Base Temperature / K]]="","",_xlfn.XLOOKUP(ABS[[#This Row],[Base Temperature / K]]+(1800*2),Coils[Temperature / K],Coils[Coil],"",1))</f>
        <v>Trinium</v>
      </c>
      <c r="U27" s="12" t="str">
        <f>IF(ABS[[#This Row],[Base Temperature / K]]="","",_xlfn.XLOOKUP(ABS[[#This Row],[Base Temperature / K]]+(1800*3),Coils[Temperature / K],Coils[Coil],"",1))</f>
        <v>Tritanium</v>
      </c>
      <c r="V27" s="12" t="str">
        <f>IF(ABS[[#This Row],[Base Temperature / K]]="","",_xlfn.XLOOKUP(ABS[[#This Row],[Base Temperature / K]]+(1800*4),Coils[Temperature / K],Coils[Coil],"",1))</f>
        <v/>
      </c>
      <c r="W27" s="12" t="str">
        <f>IF(ABS[[#This Row],[Base Temperature / K]]="","",_xlfn.XLOOKUP(ABS[[#This Row],[Base Temperature / K]]+(1800*5),Coils[Temperature / K],Coils[Coil],"",1))</f>
        <v/>
      </c>
      <c r="X27" s="12" t="str">
        <f>ABS[[#This Row],[Base voltage]]</f>
        <v>IV</v>
      </c>
      <c r="Y27" s="12" t="str">
        <f>ABS[[#This Row],[Base coils]]</f>
        <v>Tungstensteel</v>
      </c>
      <c r="Z27" s="11">
        <f>IFERROR(_xlfn.XLOOKUP(ABS[[#This Row],[Coils]],Coils[Coil],Coils[Temperature / K],"",1)+((_xlfn.XLOOKUP(ABS[[#This Row],[Energy hatch]],Voltage[Voltage],Voltage[Voltage tier],"",0)-1)*100),"")</f>
        <v>4800</v>
      </c>
      <c r="AA27" s="13">
        <f>IFERROR(0.95^ROUNDDOWN((ABS[[#This Row],[Heat capacity / K]]-ABS[[#This Row],[Base Temperature / K]])/900,0),"")</f>
        <v>1</v>
      </c>
      <c r="AB27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7680</v>
      </c>
      <c r="AC27" s="11">
        <f>ABS[[#This Row],[EU/t]]*4</f>
        <v>30720</v>
      </c>
      <c r="AD27" s="14">
        <f>IFERROR(1/(2^ROUNDDOWN((ABS[[#This Row],[Heat capacity / K]]-ABS[[#This Row],[Base Temperature / K]])/1800,0)),"")</f>
        <v>1</v>
      </c>
      <c r="AE27" s="14">
        <f>IFERROR(1/2^(_xlfn.XLOOKUP(ABS[[#This Row],[Energy hatch]],Voltage[Voltage],Voltage[Voltage tier],"",0)-(_xlfn.XLOOKUP(ABS[[#This Row],[Base voltage]],Voltage[Voltage],Voltage[Voltage tier],"",0))),"")</f>
        <v>1</v>
      </c>
      <c r="AF27" s="15">
        <f>IFERROR(ABS[[#This Row],[Coil overclock ]]*ABS[[#This Row],[Energy overclock]],"")</f>
        <v>1</v>
      </c>
      <c r="AG27" s="16">
        <f>IFERROR(IF(ROUNDDOWN(ABS[[#This Row],[Total OC]]*ABS[[#This Row],[Base duration / s]],1)&lt;0.1,0.1,ROUNDDOWN(ABS[[#This Row],[Total OC]]*ABS[[#This Row],[Base duration / s]],1)),"")</f>
        <v>180</v>
      </c>
      <c r="AH27" s="19">
        <f>ABS[[#This Row],[Net duration / s]]/ABS[[#This Row],[Yield / ingots]]</f>
        <v>30</v>
      </c>
    </row>
    <row r="28" spans="2:34" x14ac:dyDescent="0.25">
      <c r="B28" s="10" t="s">
        <v>90</v>
      </c>
      <c r="C28" s="10">
        <v>3</v>
      </c>
      <c r="D28" s="10" t="s">
        <v>79</v>
      </c>
      <c r="E28" s="10" t="s">
        <v>70</v>
      </c>
      <c r="F28" s="10" t="s">
        <v>66</v>
      </c>
      <c r="G28" s="10"/>
      <c r="H28" s="10"/>
      <c r="I28" s="10"/>
      <c r="J28" s="11">
        <v>1920</v>
      </c>
      <c r="K28" s="12" t="str">
        <f>_xlfn.XLOOKUP(ABS[[#This Row],[Base EU/T]],Voltage[Voltage / V],Voltage[Voltage],"",1)</f>
        <v>EV</v>
      </c>
      <c r="L28" s="18">
        <v>506.25</v>
      </c>
      <c r="M28" s="11">
        <v>5000</v>
      </c>
      <c r="N28" s="11">
        <v>1296</v>
      </c>
      <c r="O28" s="11">
        <f>ABS[[#This Row],[Yield / L]]/144</f>
        <v>9</v>
      </c>
      <c r="P28" s="17">
        <f>ABS[[#This Row],[Base duration / s]]/ABS[[#This Row],[Yield / ingots]]</f>
        <v>56.25</v>
      </c>
      <c r="Q28" s="12"/>
      <c r="R28" s="12" t="str">
        <f>_xlfn.XLOOKUP(ABS[[#This Row],[Base Temperature / K]],Coils[Temperature / K],Coils[Coil],"",1)</f>
        <v>HSS-G</v>
      </c>
      <c r="S28" s="12" t="str">
        <f>IF(ABS[[#This Row],[Base Temperature / K]]="","",_xlfn.XLOOKUP(ABS[[#This Row],[Base Temperature / K]]+(1800*1),Coils[Temperature / K],Coils[Coil],"",1))</f>
        <v>Naquadah</v>
      </c>
      <c r="T28" s="12" t="str">
        <f>IF(ABS[[#This Row],[Base Temperature / K]]="","",_xlfn.XLOOKUP(ABS[[#This Row],[Base Temperature / K]]+(1800*2),Coils[Temperature / K],Coils[Coil],"",1))</f>
        <v>Trinium</v>
      </c>
      <c r="U28" s="12" t="str">
        <f>IF(ABS[[#This Row],[Base Temperature / K]]="","",_xlfn.XLOOKUP(ABS[[#This Row],[Base Temperature / K]]+(1800*3),Coils[Temperature / K],Coils[Coil],"",1))</f>
        <v>Tritanium</v>
      </c>
      <c r="V28" s="12" t="str">
        <f>IF(ABS[[#This Row],[Base Temperature / K]]="","",_xlfn.XLOOKUP(ABS[[#This Row],[Base Temperature / K]]+(1800*4),Coils[Temperature / K],Coils[Coil],"",1))</f>
        <v/>
      </c>
      <c r="W28" s="12" t="str">
        <f>IF(ABS[[#This Row],[Base Temperature / K]]="","",_xlfn.XLOOKUP(ABS[[#This Row],[Base Temperature / K]]+(1800*5),Coils[Temperature / K],Coils[Coil],"",1))</f>
        <v/>
      </c>
      <c r="X28" s="12" t="str">
        <f>ABS[[#This Row],[Base voltage]]</f>
        <v>EV</v>
      </c>
      <c r="Y28" s="12" t="str">
        <f>ABS[[#This Row],[Base coils]]</f>
        <v>HSS-G</v>
      </c>
      <c r="Z28" s="11">
        <f>IFERROR(_xlfn.XLOOKUP(ABS[[#This Row],[Coils]],Coils[Coil],Coils[Temperature / K],"",1)+((_xlfn.XLOOKUP(ABS[[#This Row],[Energy hatch]],Voltage[Voltage],Voltage[Voltage tier],"",0)-1)*100),"")</f>
        <v>5600</v>
      </c>
      <c r="AA28" s="13">
        <f>IFERROR(0.95^ROUNDDOWN((ABS[[#This Row],[Heat capacity / K]]-ABS[[#This Row],[Base Temperature / K]])/900,0),"")</f>
        <v>1</v>
      </c>
      <c r="AB28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1920</v>
      </c>
      <c r="AC28" s="11">
        <f>ABS[[#This Row],[EU/t]]*4</f>
        <v>7680</v>
      </c>
      <c r="AD28" s="14">
        <f>IFERROR(1/(2^ROUNDDOWN((ABS[[#This Row],[Heat capacity / K]]-ABS[[#This Row],[Base Temperature / K]])/1800,0)),"")</f>
        <v>1</v>
      </c>
      <c r="AE28" s="14">
        <f>IFERROR(1/2^(_xlfn.XLOOKUP(ABS[[#This Row],[Energy hatch]],Voltage[Voltage],Voltage[Voltage tier],"",0)-(_xlfn.XLOOKUP(ABS[[#This Row],[Base voltage]],Voltage[Voltage],Voltage[Voltage tier],"",0))),"")</f>
        <v>1</v>
      </c>
      <c r="AF28" s="15">
        <f>IFERROR(ABS[[#This Row],[Coil overclock ]]*ABS[[#This Row],[Energy overclock]],"")</f>
        <v>1</v>
      </c>
      <c r="AG28" s="16">
        <f>IFERROR(IF(ROUNDDOWN(ABS[[#This Row],[Total OC]]*ABS[[#This Row],[Base duration / s]],1)&lt;0.1,0.1,ROUNDDOWN(ABS[[#This Row],[Total OC]]*ABS[[#This Row],[Base duration / s]],1)),"")</f>
        <v>506.2</v>
      </c>
      <c r="AH28" s="19">
        <f>ABS[[#This Row],[Net duration / s]]/ABS[[#This Row],[Yield / ingots]]</f>
        <v>56.24444444444444</v>
      </c>
    </row>
    <row r="29" spans="2:34" x14ac:dyDescent="0.25">
      <c r="B29" s="10" t="s">
        <v>174</v>
      </c>
      <c r="C29" s="10">
        <v>3</v>
      </c>
      <c r="D29" s="10" t="s">
        <v>45</v>
      </c>
      <c r="E29" s="10" t="s">
        <v>53</v>
      </c>
      <c r="F29" s="10" t="s">
        <v>71</v>
      </c>
      <c r="G29" s="10"/>
      <c r="H29" s="10"/>
      <c r="I29" s="10"/>
      <c r="J29" s="11">
        <v>30720</v>
      </c>
      <c r="K29" s="12" t="str">
        <f>_xlfn.XLOOKUP(ABS[[#This Row],[Base EU/T]],Voltage[Voltage / V],Voltage[Voltage],"",1)</f>
        <v>LuV</v>
      </c>
      <c r="L29" s="18">
        <v>150</v>
      </c>
      <c r="M29" s="11">
        <v>7200</v>
      </c>
      <c r="N29" s="11">
        <v>576</v>
      </c>
      <c r="O29" s="11">
        <f>ABS[[#This Row],[Yield / L]]/144</f>
        <v>4</v>
      </c>
      <c r="P29" s="17">
        <f>ABS[[#This Row],[Base duration / s]]/ABS[[#This Row],[Yield / ingots]]</f>
        <v>37.5</v>
      </c>
      <c r="Q29" s="12"/>
      <c r="R29" s="12" t="str">
        <f>_xlfn.XLOOKUP(ABS[[#This Row],[Base Temperature / K]],Coils[Temperature / K],Coils[Coil],"",1)</f>
        <v>Naquadah</v>
      </c>
      <c r="S29" s="12" t="str">
        <f>IF(ABS[[#This Row],[Base Temperature / K]]="","",_xlfn.XLOOKUP(ABS[[#This Row],[Base Temperature / K]]+(1800*1),Coils[Temperature / K],Coils[Coil],"",1))</f>
        <v>Trinium</v>
      </c>
      <c r="T29" s="12" t="str">
        <f>IF(ABS[[#This Row],[Base Temperature / K]]="","",_xlfn.XLOOKUP(ABS[[#This Row],[Base Temperature / K]]+(1800*2),Coils[Temperature / K],Coils[Coil],"",1))</f>
        <v>Tritanium</v>
      </c>
      <c r="U29" s="12" t="str">
        <f>IF(ABS[[#This Row],[Base Temperature / K]]="","",_xlfn.XLOOKUP(ABS[[#This Row],[Base Temperature / K]]+(1800*3),Coils[Temperature / K],Coils[Coil],"",1))</f>
        <v/>
      </c>
      <c r="V29" s="12" t="str">
        <f>IF(ABS[[#This Row],[Base Temperature / K]]="","",_xlfn.XLOOKUP(ABS[[#This Row],[Base Temperature / K]]+(1800*4),Coils[Temperature / K],Coils[Coil],"",1))</f>
        <v/>
      </c>
      <c r="W29" s="12" t="str">
        <f>IF(ABS[[#This Row],[Base Temperature / K]]="","",_xlfn.XLOOKUP(ABS[[#This Row],[Base Temperature / K]]+(1800*5),Coils[Temperature / K],Coils[Coil],"",1))</f>
        <v/>
      </c>
      <c r="X29" s="12" t="str">
        <f>ABS[[#This Row],[Base voltage]]</f>
        <v>LuV</v>
      </c>
      <c r="Y29" s="12" t="str">
        <f>ABS[[#This Row],[Base coils]]</f>
        <v>Naquadah</v>
      </c>
      <c r="Z29" s="11">
        <f>IFERROR(_xlfn.XLOOKUP(ABS[[#This Row],[Coils]],Coils[Coil],Coils[Temperature / K],"",1)+((_xlfn.XLOOKUP(ABS[[#This Row],[Energy hatch]],Voltage[Voltage],Voltage[Voltage tier],"",0)-1)*100),"")</f>
        <v>7600</v>
      </c>
      <c r="AA29" s="13">
        <f>IFERROR(0.95^ROUNDDOWN((ABS[[#This Row],[Heat capacity / K]]-ABS[[#This Row],[Base Temperature / K]])/900,0),"")</f>
        <v>1</v>
      </c>
      <c r="AB29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30720</v>
      </c>
      <c r="AC29" s="11">
        <f>ABS[[#This Row],[EU/t]]*4</f>
        <v>122880</v>
      </c>
      <c r="AD29" s="14">
        <f>IFERROR(1/(2^ROUNDDOWN((ABS[[#This Row],[Heat capacity / K]]-ABS[[#This Row],[Base Temperature / K]])/1800,0)),"")</f>
        <v>1</v>
      </c>
      <c r="AE29" s="14">
        <f>IFERROR(1/2^(_xlfn.XLOOKUP(ABS[[#This Row],[Energy hatch]],Voltage[Voltage],Voltage[Voltage tier],"",0)-(_xlfn.XLOOKUP(ABS[[#This Row],[Base voltage]],Voltage[Voltage],Voltage[Voltage tier],"",0))),"")</f>
        <v>1</v>
      </c>
      <c r="AF29" s="15">
        <f>IFERROR(ABS[[#This Row],[Coil overclock ]]*ABS[[#This Row],[Energy overclock]],"")</f>
        <v>1</v>
      </c>
      <c r="AG29" s="16">
        <f>IFERROR(IF(ROUNDDOWN(ABS[[#This Row],[Total OC]]*ABS[[#This Row],[Base duration / s]],1)&lt;0.1,0.1,ROUNDDOWN(ABS[[#This Row],[Total OC]]*ABS[[#This Row],[Base duration / s]],1)),"")</f>
        <v>150</v>
      </c>
      <c r="AH29" s="19">
        <f>ABS[[#This Row],[Net duration / s]]/ABS[[#This Row],[Yield / ingots]]</f>
        <v>37.5</v>
      </c>
    </row>
    <row r="30" spans="2:34" x14ac:dyDescent="0.25">
      <c r="B30" s="10" t="s">
        <v>76</v>
      </c>
      <c r="C30" s="10">
        <v>3</v>
      </c>
      <c r="D30" s="10" t="s">
        <v>71</v>
      </c>
      <c r="E30" s="10" t="s">
        <v>45</v>
      </c>
      <c r="F30" s="10" t="s">
        <v>151</v>
      </c>
      <c r="G30" s="10"/>
      <c r="H30" s="10"/>
      <c r="I30" s="10"/>
      <c r="J30" s="11">
        <v>122880</v>
      </c>
      <c r="K30" s="12" t="str">
        <f>_xlfn.XLOOKUP(ABS[[#This Row],[Base EU/T]],Voltage[Voltage / V],Voltage[Voltage],"",1)</f>
        <v>ZPM</v>
      </c>
      <c r="L30" s="18">
        <v>405</v>
      </c>
      <c r="M30" s="11">
        <v>8747</v>
      </c>
      <c r="N30" s="11">
        <v>1296</v>
      </c>
      <c r="O30" s="11">
        <f>ABS[[#This Row],[Yield / L]]/144</f>
        <v>9</v>
      </c>
      <c r="P30" s="17">
        <f>ABS[[#This Row],[Base duration / s]]/ABS[[#This Row],[Yield / ingots]]</f>
        <v>45</v>
      </c>
      <c r="Q30" s="12"/>
      <c r="R30" s="12" t="str">
        <f>_xlfn.XLOOKUP(ABS[[#This Row],[Base Temperature / K]],Coils[Temperature / K],Coils[Coil],"",1)</f>
        <v>Trinium</v>
      </c>
      <c r="S30" s="12" t="str">
        <f>IF(ABS[[#This Row],[Base Temperature / K]]="","",_xlfn.XLOOKUP(ABS[[#This Row],[Base Temperature / K]]+(1800*1),Coils[Temperature / K],Coils[Coil],"",1))</f>
        <v>Tritanium</v>
      </c>
      <c r="T30" s="12" t="str">
        <f>IF(ABS[[#This Row],[Base Temperature / K]]="","",_xlfn.XLOOKUP(ABS[[#This Row],[Base Temperature / K]]+(1800*2),Coils[Temperature / K],Coils[Coil],"",1))</f>
        <v/>
      </c>
      <c r="U30" s="12" t="str">
        <f>IF(ABS[[#This Row],[Base Temperature / K]]="","",_xlfn.XLOOKUP(ABS[[#This Row],[Base Temperature / K]]+(1800*3),Coils[Temperature / K],Coils[Coil],"",1))</f>
        <v/>
      </c>
      <c r="V30" s="12" t="str">
        <f>IF(ABS[[#This Row],[Base Temperature / K]]="","",_xlfn.XLOOKUP(ABS[[#This Row],[Base Temperature / K]]+(1800*4),Coils[Temperature / K],Coils[Coil],"",1))</f>
        <v/>
      </c>
      <c r="W30" s="12" t="str">
        <f>IF(ABS[[#This Row],[Base Temperature / K]]="","",_xlfn.XLOOKUP(ABS[[#This Row],[Base Temperature / K]]+(1800*5),Coils[Temperature / K],Coils[Coil],"",1))</f>
        <v/>
      </c>
      <c r="X30" s="12" t="str">
        <f>ABS[[#This Row],[Base voltage]]</f>
        <v>ZPM</v>
      </c>
      <c r="Y30" s="12" t="str">
        <f>ABS[[#This Row],[Base coils]]</f>
        <v>Trinium</v>
      </c>
      <c r="Z30" s="11">
        <f>IFERROR(_xlfn.XLOOKUP(ABS[[#This Row],[Coils]],Coils[Coil],Coils[Temperature / K],"",1)+((_xlfn.XLOOKUP(ABS[[#This Row],[Energy hatch]],Voltage[Voltage],Voltage[Voltage tier],"",0)-1)*100),"")</f>
        <v>9501</v>
      </c>
      <c r="AA30" s="13">
        <f>IFERROR(0.95^ROUNDDOWN((ABS[[#This Row],[Heat capacity / K]]-ABS[[#This Row],[Base Temperature / K]])/900,0),"")</f>
        <v>1</v>
      </c>
      <c r="AB30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122880</v>
      </c>
      <c r="AC30" s="11">
        <f>ABS[[#This Row],[EU/t]]*4</f>
        <v>491520</v>
      </c>
      <c r="AD30" s="14">
        <f>IFERROR(1/(2^ROUNDDOWN((ABS[[#This Row],[Heat capacity / K]]-ABS[[#This Row],[Base Temperature / K]])/1800,0)),"")</f>
        <v>1</v>
      </c>
      <c r="AE30" s="14">
        <f>IFERROR(1/2^(_xlfn.XLOOKUP(ABS[[#This Row],[Energy hatch]],Voltage[Voltage],Voltage[Voltage tier],"",0)-(_xlfn.XLOOKUP(ABS[[#This Row],[Base voltage]],Voltage[Voltage],Voltage[Voltage tier],"",0))),"")</f>
        <v>1</v>
      </c>
      <c r="AF30" s="15">
        <f>IFERROR(ABS[[#This Row],[Coil overclock ]]*ABS[[#This Row],[Energy overclock]],"")</f>
        <v>1</v>
      </c>
      <c r="AG30" s="16">
        <f>IFERROR(IF(ROUNDDOWN(ABS[[#This Row],[Total OC]]*ABS[[#This Row],[Base duration / s]],1)&lt;0.1,0.1,ROUNDDOWN(ABS[[#This Row],[Total OC]]*ABS[[#This Row],[Base duration / s]],1)),"")</f>
        <v>405</v>
      </c>
      <c r="AH30" s="19">
        <f>ABS[[#This Row],[Net duration / s]]/ABS[[#This Row],[Yield / ingots]]</f>
        <v>45</v>
      </c>
    </row>
    <row r="31" spans="2:34" x14ac:dyDescent="0.25">
      <c r="B31" s="10" t="s">
        <v>18</v>
      </c>
      <c r="C31" s="10">
        <v>3</v>
      </c>
      <c r="D31" s="10" t="s">
        <v>165</v>
      </c>
      <c r="E31" s="10" t="s">
        <v>74</v>
      </c>
      <c r="F31" s="10" t="s">
        <v>45</v>
      </c>
      <c r="G31" s="10"/>
      <c r="H31" s="10"/>
      <c r="I31" s="10"/>
      <c r="J31" s="11">
        <v>7680</v>
      </c>
      <c r="K31" s="12" t="str">
        <f>_xlfn.XLOOKUP(ABS[[#This Row],[Base EU/T]],Voltage[Voltage / V],Voltage[Voltage],"",1)</f>
        <v>IV</v>
      </c>
      <c r="L31" s="18">
        <v>225</v>
      </c>
      <c r="M31" s="11">
        <v>9000</v>
      </c>
      <c r="N31" s="11">
        <v>576</v>
      </c>
      <c r="O31" s="11">
        <f>ABS[[#This Row],[Yield / L]]/144</f>
        <v>4</v>
      </c>
      <c r="P31" s="17">
        <f>ABS[[#This Row],[Base duration / s]]/ABS[[#This Row],[Yield / ingots]]</f>
        <v>56.25</v>
      </c>
      <c r="Q31" s="12"/>
      <c r="R31" s="12" t="str">
        <f>_xlfn.XLOOKUP(ABS[[#This Row],[Base Temperature / K]],Coils[Temperature / K],Coils[Coil],"",1)</f>
        <v>Trinium</v>
      </c>
      <c r="S31" s="12" t="str">
        <f>IF(ABS[[#This Row],[Base Temperature / K]]="","",_xlfn.XLOOKUP(ABS[[#This Row],[Base Temperature / K]]+(1800*1),Coils[Temperature / K],Coils[Coil],"",1))</f>
        <v>Tritanium</v>
      </c>
      <c r="T31" s="12" t="str">
        <f>IF(ABS[[#This Row],[Base Temperature / K]]="","",_xlfn.XLOOKUP(ABS[[#This Row],[Base Temperature / K]]+(1800*2),Coils[Temperature / K],Coils[Coil],"",1))</f>
        <v/>
      </c>
      <c r="U31" s="12" t="str">
        <f>IF(ABS[[#This Row],[Base Temperature / K]]="","",_xlfn.XLOOKUP(ABS[[#This Row],[Base Temperature / K]]+(1800*3),Coils[Temperature / K],Coils[Coil],"",1))</f>
        <v/>
      </c>
      <c r="V31" s="12" t="str">
        <f>IF(ABS[[#This Row],[Base Temperature / K]]="","",_xlfn.XLOOKUP(ABS[[#This Row],[Base Temperature / K]]+(1800*4),Coils[Temperature / K],Coils[Coil],"",1))</f>
        <v/>
      </c>
      <c r="W31" s="12" t="str">
        <f>IF(ABS[[#This Row],[Base Temperature / K]]="","",_xlfn.XLOOKUP(ABS[[#This Row],[Base Temperature / K]]+(1800*5),Coils[Temperature / K],Coils[Coil],"",1))</f>
        <v/>
      </c>
      <c r="X31" s="12" t="str">
        <f>ABS[[#This Row],[Base voltage]]</f>
        <v>IV</v>
      </c>
      <c r="Y31" s="12" t="str">
        <f>ABS[[#This Row],[Base coils]]</f>
        <v>Trinium</v>
      </c>
      <c r="Z31" s="11">
        <f>IFERROR(_xlfn.XLOOKUP(ABS[[#This Row],[Coils]],Coils[Coil],Coils[Temperature / K],"",1)+((_xlfn.XLOOKUP(ABS[[#This Row],[Energy hatch]],Voltage[Voltage],Voltage[Voltage tier],"",0)-1)*100),"")</f>
        <v>9301</v>
      </c>
      <c r="AA31" s="13">
        <f>IFERROR(0.95^ROUNDDOWN((ABS[[#This Row],[Heat capacity / K]]-ABS[[#This Row],[Base Temperature / K]])/900,0),"")</f>
        <v>1</v>
      </c>
      <c r="AB31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7680</v>
      </c>
      <c r="AC31" s="11">
        <f>ABS[[#This Row],[EU/t]]*4</f>
        <v>30720</v>
      </c>
      <c r="AD31" s="14">
        <f>IFERROR(1/(2^ROUNDDOWN((ABS[[#This Row],[Heat capacity / K]]-ABS[[#This Row],[Base Temperature / K]])/1800,0)),"")</f>
        <v>1</v>
      </c>
      <c r="AE31" s="14">
        <f>IFERROR(1/2^(_xlfn.XLOOKUP(ABS[[#This Row],[Energy hatch]],Voltage[Voltage],Voltage[Voltage tier],"",0)-(_xlfn.XLOOKUP(ABS[[#This Row],[Base voltage]],Voltage[Voltage],Voltage[Voltage tier],"",0))),"")</f>
        <v>1</v>
      </c>
      <c r="AF31" s="15">
        <f>IFERROR(ABS[[#This Row],[Coil overclock ]]*ABS[[#This Row],[Energy overclock]],"")</f>
        <v>1</v>
      </c>
      <c r="AG31" s="16">
        <f>IFERROR(IF(ROUNDDOWN(ABS[[#This Row],[Total OC]]*ABS[[#This Row],[Base duration / s]],1)&lt;0.1,0.1,ROUNDDOWN(ABS[[#This Row],[Total OC]]*ABS[[#This Row],[Base duration / s]],1)),"")</f>
        <v>225</v>
      </c>
      <c r="AH31" s="19">
        <f>ABS[[#This Row],[Net duration / s]]/ABS[[#This Row],[Yield / ingots]]</f>
        <v>56.25</v>
      </c>
    </row>
    <row r="32" spans="2:34" x14ac:dyDescent="0.25">
      <c r="B32" s="10" t="s">
        <v>97</v>
      </c>
      <c r="C32" s="10">
        <v>4</v>
      </c>
      <c r="D32" s="10" t="s">
        <v>184</v>
      </c>
      <c r="E32" s="10" t="s">
        <v>100</v>
      </c>
      <c r="F32" s="10" t="s">
        <v>99</v>
      </c>
      <c r="G32" s="10" t="s">
        <v>185</v>
      </c>
      <c r="H32" s="10"/>
      <c r="I32" s="10"/>
      <c r="J32" s="11">
        <v>120</v>
      </c>
      <c r="K32" s="12" t="str">
        <f>_xlfn.XLOOKUP(ABS[[#This Row],[Base EU/T]],Voltage[Voltage / V],Voltage[Voltage],"",1)</f>
        <v>MV</v>
      </c>
      <c r="L32" s="18">
        <v>450</v>
      </c>
      <c r="M32" s="11">
        <v>1100</v>
      </c>
      <c r="N32" s="11">
        <v>1296</v>
      </c>
      <c r="O32" s="11">
        <f>ABS[[#This Row],[Yield / L]]/144</f>
        <v>9</v>
      </c>
      <c r="P32" s="17">
        <f>ABS[[#This Row],[Base duration / s]]/ABS[[#This Row],[Yield / ingots]]</f>
        <v>50</v>
      </c>
      <c r="Q32" s="12"/>
      <c r="R32" s="12" t="str">
        <f>_xlfn.XLOOKUP(ABS[[#This Row],[Base Temperature / K]],Coils[Temperature / K],Coils[Coil],"",1)</f>
        <v>Cupronickel</v>
      </c>
      <c r="S32" s="12" t="str">
        <f>IF(ABS[[#This Row],[Base Temperature / K]]="","",_xlfn.XLOOKUP(ABS[[#This Row],[Base Temperature / K]]+(1800*1),Coils[Temperature / K],Coils[Coil],"",1))</f>
        <v>Nichrome</v>
      </c>
      <c r="T32" s="12" t="str">
        <f>IF(ABS[[#This Row],[Base Temperature / K]]="","",_xlfn.XLOOKUP(ABS[[#This Row],[Base Temperature / K]]+(1800*2),Coils[Temperature / K],Coils[Coil],"",1))</f>
        <v>HSS-G</v>
      </c>
      <c r="U32" s="12" t="str">
        <f>IF(ABS[[#This Row],[Base Temperature / K]]="","",_xlfn.XLOOKUP(ABS[[#This Row],[Base Temperature / K]]+(1800*3),Coils[Temperature / K],Coils[Coil],"",1))</f>
        <v>Naquadah</v>
      </c>
      <c r="V32" s="12" t="str">
        <f>IF(ABS[[#This Row],[Base Temperature / K]]="","",_xlfn.XLOOKUP(ABS[[#This Row],[Base Temperature / K]]+(1800*4),Coils[Temperature / K],Coils[Coil],"",1))</f>
        <v>Trinium</v>
      </c>
      <c r="W32" s="12" t="str">
        <f>IF(ABS[[#This Row],[Base Temperature / K]]="","",_xlfn.XLOOKUP(ABS[[#This Row],[Base Temperature / K]]+(1800*5),Coils[Temperature / K],Coils[Coil],"",1))</f>
        <v>Tritanium</v>
      </c>
      <c r="X32" s="12" t="str">
        <f>ABS[[#This Row],[Base voltage]]</f>
        <v>MV</v>
      </c>
      <c r="Y32" s="12" t="str">
        <f>ABS[[#This Row],[Base coils]]</f>
        <v>Cupronickel</v>
      </c>
      <c r="Z32" s="11">
        <f>IFERROR(_xlfn.XLOOKUP(ABS[[#This Row],[Coils]],Coils[Coil],Coils[Temperature / K],"",1)+((_xlfn.XLOOKUP(ABS[[#This Row],[Energy hatch]],Voltage[Voltage],Voltage[Voltage tier],"",0)-1)*100),"")</f>
        <v>1800</v>
      </c>
      <c r="AA32" s="13">
        <f>IFERROR(0.95^ROUNDDOWN((ABS[[#This Row],[Heat capacity / K]]-ABS[[#This Row],[Base Temperature / K]])/900,0),"")</f>
        <v>1</v>
      </c>
      <c r="AB32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120</v>
      </c>
      <c r="AC32" s="11">
        <f>ABS[[#This Row],[EU/t]]*4</f>
        <v>480</v>
      </c>
      <c r="AD32" s="14">
        <f>IFERROR(1/(2^ROUNDDOWN((ABS[[#This Row],[Heat capacity / K]]-ABS[[#This Row],[Base Temperature / K]])/1800,0)),"")</f>
        <v>1</v>
      </c>
      <c r="AE32" s="14">
        <f>IFERROR(1/2^(_xlfn.XLOOKUP(ABS[[#This Row],[Energy hatch]],Voltage[Voltage],Voltage[Voltage tier],"",0)-(_xlfn.XLOOKUP(ABS[[#This Row],[Base voltage]],Voltage[Voltage],Voltage[Voltage tier],"",0))),"")</f>
        <v>1</v>
      </c>
      <c r="AF32" s="15">
        <f>IFERROR(ABS[[#This Row],[Coil overclock ]]*ABS[[#This Row],[Energy overclock]],"")</f>
        <v>1</v>
      </c>
      <c r="AG32" s="16">
        <f>IFERROR(IF(ROUNDDOWN(ABS[[#This Row],[Total OC]]*ABS[[#This Row],[Base duration / s]],1)&lt;0.1,0.1,ROUNDDOWN(ABS[[#This Row],[Total OC]]*ABS[[#This Row],[Base duration / s]],1)),"")</f>
        <v>450</v>
      </c>
      <c r="AH32" s="19">
        <f>ABS[[#This Row],[Net duration / s]]/ABS[[#This Row],[Yield / ingots]]</f>
        <v>50</v>
      </c>
    </row>
    <row r="33" spans="2:34" x14ac:dyDescent="0.25">
      <c r="B33" s="10" t="s">
        <v>60</v>
      </c>
      <c r="C33" s="10">
        <v>4</v>
      </c>
      <c r="D33" s="10" t="s">
        <v>55</v>
      </c>
      <c r="E33" s="10" t="s">
        <v>58</v>
      </c>
      <c r="F33" s="10" t="s">
        <v>170</v>
      </c>
      <c r="G33" s="10" t="s">
        <v>37</v>
      </c>
      <c r="H33" s="10"/>
      <c r="I33" s="10"/>
      <c r="J33" s="11">
        <v>480</v>
      </c>
      <c r="K33" s="12" t="str">
        <f>_xlfn.XLOOKUP(ABS[[#This Row],[Base EU/T]],Voltage[Voltage / V],Voltage[Voltage],"",1)</f>
        <v>HV</v>
      </c>
      <c r="L33" s="18">
        <v>300</v>
      </c>
      <c r="M33" s="11">
        <v>1300</v>
      </c>
      <c r="N33" s="11">
        <v>1152</v>
      </c>
      <c r="O33" s="11">
        <f>ABS[[#This Row],[Yield / L]]/144</f>
        <v>8</v>
      </c>
      <c r="P33" s="17">
        <f>ABS[[#This Row],[Base duration / s]]/ABS[[#This Row],[Yield / ingots]]</f>
        <v>37.5</v>
      </c>
      <c r="Q33" s="12"/>
      <c r="R33" s="12" t="str">
        <f>_xlfn.XLOOKUP(ABS[[#This Row],[Base Temperature / K]],Coils[Temperature / K],Coils[Coil],"",1)</f>
        <v>Cupronickel</v>
      </c>
      <c r="S33" s="12" t="str">
        <f>IF(ABS[[#This Row],[Base Temperature / K]]="","",_xlfn.XLOOKUP(ABS[[#This Row],[Base Temperature / K]]+(1800*1),Coils[Temperature / K],Coils[Coil],"",1))</f>
        <v>Nichrome</v>
      </c>
      <c r="T33" s="12" t="str">
        <f>IF(ABS[[#This Row],[Base Temperature / K]]="","",_xlfn.XLOOKUP(ABS[[#This Row],[Base Temperature / K]]+(1800*2),Coils[Temperature / K],Coils[Coil],"",1))</f>
        <v>HSS-G</v>
      </c>
      <c r="U33" s="12" t="str">
        <f>IF(ABS[[#This Row],[Base Temperature / K]]="","",_xlfn.XLOOKUP(ABS[[#This Row],[Base Temperature / K]]+(1800*3),Coils[Temperature / K],Coils[Coil],"",1))</f>
        <v>Naquadah</v>
      </c>
      <c r="V33" s="12" t="str">
        <f>IF(ABS[[#This Row],[Base Temperature / K]]="","",_xlfn.XLOOKUP(ABS[[#This Row],[Base Temperature / K]]+(1800*4),Coils[Temperature / K],Coils[Coil],"",1))</f>
        <v>Trinium</v>
      </c>
      <c r="W33" s="12" t="str">
        <f>IF(ABS[[#This Row],[Base Temperature / K]]="","",_xlfn.XLOOKUP(ABS[[#This Row],[Base Temperature / K]]+(1800*5),Coils[Temperature / K],Coils[Coil],"",1))</f>
        <v>Tritanium</v>
      </c>
      <c r="X33" s="12" t="str">
        <f>ABS[[#This Row],[Base voltage]]</f>
        <v>HV</v>
      </c>
      <c r="Y33" s="12" t="str">
        <f>ABS[[#This Row],[Base coils]]</f>
        <v>Cupronickel</v>
      </c>
      <c r="Z33" s="11">
        <f>IFERROR(_xlfn.XLOOKUP(ABS[[#This Row],[Coils]],Coils[Coil],Coils[Temperature / K],"",1)+((_xlfn.XLOOKUP(ABS[[#This Row],[Energy hatch]],Voltage[Voltage],Voltage[Voltage tier],"",0)-1)*100),"")</f>
        <v>1900</v>
      </c>
      <c r="AA33" s="13">
        <f>IFERROR(0.95^ROUNDDOWN((ABS[[#This Row],[Heat capacity / K]]-ABS[[#This Row],[Base Temperature / K]])/900,0),"")</f>
        <v>1</v>
      </c>
      <c r="AB33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480</v>
      </c>
      <c r="AC33" s="11">
        <f>ABS[[#This Row],[EU/t]]*4</f>
        <v>1920</v>
      </c>
      <c r="AD33" s="14">
        <f>IFERROR(1/(2^ROUNDDOWN((ABS[[#This Row],[Heat capacity / K]]-ABS[[#This Row],[Base Temperature / K]])/1800,0)),"")</f>
        <v>1</v>
      </c>
      <c r="AE33" s="14">
        <f>IFERROR(1/2^(_xlfn.XLOOKUP(ABS[[#This Row],[Energy hatch]],Voltage[Voltage],Voltage[Voltage tier],"",0)-(_xlfn.XLOOKUP(ABS[[#This Row],[Base voltage]],Voltage[Voltage],Voltage[Voltage tier],"",0))),"")</f>
        <v>1</v>
      </c>
      <c r="AF33" s="15">
        <f>IFERROR(ABS[[#This Row],[Coil overclock ]]*ABS[[#This Row],[Energy overclock]],"")</f>
        <v>1</v>
      </c>
      <c r="AG33" s="16">
        <f>IFERROR(IF(ROUNDDOWN(ABS[[#This Row],[Total OC]]*ABS[[#This Row],[Base duration / s]],1)&lt;0.1,0.1,ROUNDDOWN(ABS[[#This Row],[Total OC]]*ABS[[#This Row],[Base duration / s]],1)),"")</f>
        <v>300</v>
      </c>
      <c r="AH33" s="19">
        <f>ABS[[#This Row],[Net duration / s]]/ABS[[#This Row],[Yield / ingots]]</f>
        <v>37.5</v>
      </c>
    </row>
    <row r="34" spans="2:34" x14ac:dyDescent="0.25">
      <c r="B34" s="10" t="s">
        <v>61</v>
      </c>
      <c r="C34" s="10">
        <v>4</v>
      </c>
      <c r="D34" s="10" t="s">
        <v>56</v>
      </c>
      <c r="E34" s="10" t="s">
        <v>178</v>
      </c>
      <c r="F34" s="10" t="s">
        <v>170</v>
      </c>
      <c r="G34" s="10" t="s">
        <v>37</v>
      </c>
      <c r="H34" s="10"/>
      <c r="I34" s="10"/>
      <c r="J34" s="11">
        <v>480</v>
      </c>
      <c r="K34" s="12" t="str">
        <f>_xlfn.XLOOKUP(ABS[[#This Row],[Base EU/T]],Voltage[Voltage / V],Voltage[Voltage],"",1)</f>
        <v>HV</v>
      </c>
      <c r="L34" s="18">
        <v>300</v>
      </c>
      <c r="M34" s="11">
        <v>1400</v>
      </c>
      <c r="N34" s="11">
        <v>1152</v>
      </c>
      <c r="O34" s="11">
        <f>ABS[[#This Row],[Yield / L]]/144</f>
        <v>8</v>
      </c>
      <c r="P34" s="17">
        <f>ABS[[#This Row],[Base duration / s]]/ABS[[#This Row],[Yield / ingots]]</f>
        <v>37.5</v>
      </c>
      <c r="Q34" s="12"/>
      <c r="R34" s="12" t="str">
        <f>_xlfn.XLOOKUP(ABS[[#This Row],[Base Temperature / K]],Coils[Temperature / K],Coils[Coil],"",1)</f>
        <v>Cupronickel</v>
      </c>
      <c r="S34" s="12" t="str">
        <f>IF(ABS[[#This Row],[Base Temperature / K]]="","",_xlfn.XLOOKUP(ABS[[#This Row],[Base Temperature / K]]+(1800*1),Coils[Temperature / K],Coils[Coil],"",1))</f>
        <v>Nichrome</v>
      </c>
      <c r="T34" s="12" t="str">
        <f>IF(ABS[[#This Row],[Base Temperature / K]]="","",_xlfn.XLOOKUP(ABS[[#This Row],[Base Temperature / K]]+(1800*2),Coils[Temperature / K],Coils[Coil],"",1))</f>
        <v>HSS-G</v>
      </c>
      <c r="U34" s="12" t="str">
        <f>IF(ABS[[#This Row],[Base Temperature / K]]="","",_xlfn.XLOOKUP(ABS[[#This Row],[Base Temperature / K]]+(1800*3),Coils[Temperature / K],Coils[Coil],"",1))</f>
        <v>Naquadah</v>
      </c>
      <c r="V34" s="12" t="str">
        <f>IF(ABS[[#This Row],[Base Temperature / K]]="","",_xlfn.XLOOKUP(ABS[[#This Row],[Base Temperature / K]]+(1800*4),Coils[Temperature / K],Coils[Coil],"",1))</f>
        <v>Trinium</v>
      </c>
      <c r="W34" s="12" t="str">
        <f>IF(ABS[[#This Row],[Base Temperature / K]]="","",_xlfn.XLOOKUP(ABS[[#This Row],[Base Temperature / K]]+(1800*5),Coils[Temperature / K],Coils[Coil],"",1))</f>
        <v>Tritanium</v>
      </c>
      <c r="X34" s="12" t="str">
        <f>ABS[[#This Row],[Base voltage]]</f>
        <v>HV</v>
      </c>
      <c r="Y34" s="12" t="str">
        <f>ABS[[#This Row],[Base coils]]</f>
        <v>Cupronickel</v>
      </c>
      <c r="Z34" s="11">
        <f>IFERROR(_xlfn.XLOOKUP(ABS[[#This Row],[Coils]],Coils[Coil],Coils[Temperature / K],"",1)+((_xlfn.XLOOKUP(ABS[[#This Row],[Energy hatch]],Voltage[Voltage],Voltage[Voltage tier],"",0)-1)*100),"")</f>
        <v>1900</v>
      </c>
      <c r="AA34" s="13">
        <f>IFERROR(0.95^ROUNDDOWN((ABS[[#This Row],[Heat capacity / K]]-ABS[[#This Row],[Base Temperature / K]])/900,0),"")</f>
        <v>1</v>
      </c>
      <c r="AB34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480</v>
      </c>
      <c r="AC34" s="11">
        <f>ABS[[#This Row],[EU/t]]*4</f>
        <v>1920</v>
      </c>
      <c r="AD34" s="14">
        <f>IFERROR(1/(2^ROUNDDOWN((ABS[[#This Row],[Heat capacity / K]]-ABS[[#This Row],[Base Temperature / K]])/1800,0)),"")</f>
        <v>1</v>
      </c>
      <c r="AE34" s="14">
        <f>IFERROR(1/2^(_xlfn.XLOOKUP(ABS[[#This Row],[Energy hatch]],Voltage[Voltage],Voltage[Voltage tier],"",0)-(_xlfn.XLOOKUP(ABS[[#This Row],[Base voltage]],Voltage[Voltage],Voltage[Voltage tier],"",0))),"")</f>
        <v>1</v>
      </c>
      <c r="AF34" s="15">
        <f>IFERROR(ABS[[#This Row],[Coil overclock ]]*ABS[[#This Row],[Energy overclock]],"")</f>
        <v>1</v>
      </c>
      <c r="AG34" s="16">
        <f>IFERROR(IF(ROUNDDOWN(ABS[[#This Row],[Total OC]]*ABS[[#This Row],[Base duration / s]],1)&lt;0.1,0.1,ROUNDDOWN(ABS[[#This Row],[Total OC]]*ABS[[#This Row],[Base duration / s]],1)),"")</f>
        <v>300</v>
      </c>
      <c r="AH34" s="19">
        <f>ABS[[#This Row],[Net duration / s]]/ABS[[#This Row],[Yield / ingots]]</f>
        <v>37.5</v>
      </c>
    </row>
    <row r="35" spans="2:34" x14ac:dyDescent="0.25">
      <c r="B35" s="10" t="s">
        <v>69</v>
      </c>
      <c r="C35" s="10">
        <v>4</v>
      </c>
      <c r="D35" s="10" t="s">
        <v>161</v>
      </c>
      <c r="E35" s="10" t="s">
        <v>94</v>
      </c>
      <c r="F35" s="10" t="s">
        <v>179</v>
      </c>
      <c r="G35" s="10" t="s">
        <v>169</v>
      </c>
      <c r="H35" s="10"/>
      <c r="I35" s="10"/>
      <c r="J35" s="11">
        <v>480</v>
      </c>
      <c r="K35" s="12" t="str">
        <f>_xlfn.XLOOKUP(ABS[[#This Row],[Base EU/T]],Voltage[Voltage / V],Voltage[Voltage],"",1)</f>
        <v>HV</v>
      </c>
      <c r="L35" s="18">
        <v>371.25</v>
      </c>
      <c r="M35" s="11">
        <v>1700</v>
      </c>
      <c r="N35" s="11">
        <v>1296</v>
      </c>
      <c r="O35" s="11">
        <f>ABS[[#This Row],[Yield / L]]/144</f>
        <v>9</v>
      </c>
      <c r="P35" s="17">
        <f>ABS[[#This Row],[Base duration / s]]/ABS[[#This Row],[Yield / ingots]]</f>
        <v>41.25</v>
      </c>
      <c r="Q35" s="12"/>
      <c r="R35" s="12" t="str">
        <f>_xlfn.XLOOKUP(ABS[[#This Row],[Base Temperature / K]],Coils[Temperature / K],Coils[Coil],"",1)</f>
        <v>Cupronickel</v>
      </c>
      <c r="S35" s="12" t="str">
        <f>IF(ABS[[#This Row],[Base Temperature / K]]="","",_xlfn.XLOOKUP(ABS[[#This Row],[Base Temperature / K]]+(1800*1),Coils[Temperature / K],Coils[Coil],"",1))</f>
        <v>Nichrome</v>
      </c>
      <c r="T35" s="12" t="str">
        <f>IF(ABS[[#This Row],[Base Temperature / K]]="","",_xlfn.XLOOKUP(ABS[[#This Row],[Base Temperature / K]]+(1800*2),Coils[Temperature / K],Coils[Coil],"",1))</f>
        <v>HSS-G</v>
      </c>
      <c r="U35" s="12" t="str">
        <f>IF(ABS[[#This Row],[Base Temperature / K]]="","",_xlfn.XLOOKUP(ABS[[#This Row],[Base Temperature / K]]+(1800*3),Coils[Temperature / K],Coils[Coil],"",1))</f>
        <v>Naquadah</v>
      </c>
      <c r="V35" s="12" t="str">
        <f>IF(ABS[[#This Row],[Base Temperature / K]]="","",_xlfn.XLOOKUP(ABS[[#This Row],[Base Temperature / K]]+(1800*4),Coils[Temperature / K],Coils[Coil],"",1))</f>
        <v>Trinium</v>
      </c>
      <c r="W35" s="12" t="str">
        <f>IF(ABS[[#This Row],[Base Temperature / K]]="","",_xlfn.XLOOKUP(ABS[[#This Row],[Base Temperature / K]]+(1800*5),Coils[Temperature / K],Coils[Coil],"",1))</f>
        <v>Tritanium</v>
      </c>
      <c r="X35" s="12" t="str">
        <f>ABS[[#This Row],[Base voltage]]</f>
        <v>HV</v>
      </c>
      <c r="Y35" s="12" t="str">
        <f>ABS[[#This Row],[Base coils]]</f>
        <v>Cupronickel</v>
      </c>
      <c r="Z35" s="11">
        <f>IFERROR(_xlfn.XLOOKUP(ABS[[#This Row],[Coils]],Coils[Coil],Coils[Temperature / K],"",1)+((_xlfn.XLOOKUP(ABS[[#This Row],[Energy hatch]],Voltage[Voltage],Voltage[Voltage tier],"",0)-1)*100),"")</f>
        <v>1900</v>
      </c>
      <c r="AA35" s="13">
        <f>IFERROR(0.95^ROUNDDOWN((ABS[[#This Row],[Heat capacity / K]]-ABS[[#This Row],[Base Temperature / K]])/900,0),"")</f>
        <v>1</v>
      </c>
      <c r="AB35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480</v>
      </c>
      <c r="AC35" s="11">
        <f>ABS[[#This Row],[EU/t]]*4</f>
        <v>1920</v>
      </c>
      <c r="AD35" s="14">
        <f>IFERROR(1/(2^ROUNDDOWN((ABS[[#This Row],[Heat capacity / K]]-ABS[[#This Row],[Base Temperature / K]])/1800,0)),"")</f>
        <v>1</v>
      </c>
      <c r="AE35" s="14">
        <f>IFERROR(1/2^(_xlfn.XLOOKUP(ABS[[#This Row],[Energy hatch]],Voltage[Voltage],Voltage[Voltage tier],"",0)-(_xlfn.XLOOKUP(ABS[[#This Row],[Base voltage]],Voltage[Voltage],Voltage[Voltage tier],"",0))),"")</f>
        <v>1</v>
      </c>
      <c r="AF35" s="15">
        <f>IFERROR(ABS[[#This Row],[Coil overclock ]]*ABS[[#This Row],[Energy overclock]],"")</f>
        <v>1</v>
      </c>
      <c r="AG35" s="16">
        <f>IFERROR(IF(ROUNDDOWN(ABS[[#This Row],[Total OC]]*ABS[[#This Row],[Base duration / s]],1)&lt;0.1,0.1,ROUNDDOWN(ABS[[#This Row],[Total OC]]*ABS[[#This Row],[Base duration / s]],1)),"")</f>
        <v>371.2</v>
      </c>
      <c r="AH35" s="19">
        <f>ABS[[#This Row],[Net duration / s]]/ABS[[#This Row],[Yield / ingots]]</f>
        <v>41.24444444444444</v>
      </c>
    </row>
    <row r="36" spans="2:34" x14ac:dyDescent="0.25">
      <c r="B36" s="10" t="s">
        <v>62</v>
      </c>
      <c r="C36" s="10">
        <v>4</v>
      </c>
      <c r="D36" s="10" t="s">
        <v>176</v>
      </c>
      <c r="E36" s="10" t="s">
        <v>84</v>
      </c>
      <c r="F36" s="10" t="s">
        <v>72</v>
      </c>
      <c r="G36" s="10" t="s">
        <v>177</v>
      </c>
      <c r="H36" s="10"/>
      <c r="I36" s="10"/>
      <c r="J36" s="11">
        <v>480</v>
      </c>
      <c r="K36" s="12" t="str">
        <f>_xlfn.XLOOKUP(ABS[[#This Row],[Base EU/T]],Voltage[Voltage / V],Voltage[Voltage],"",1)</f>
        <v>HV</v>
      </c>
      <c r="L36" s="18">
        <v>187.5</v>
      </c>
      <c r="M36" s="11">
        <v>1711</v>
      </c>
      <c r="N36" s="11">
        <v>720</v>
      </c>
      <c r="O36" s="11">
        <f>ABS[[#This Row],[Yield / L]]/144</f>
        <v>5</v>
      </c>
      <c r="P36" s="17">
        <f>ABS[[#This Row],[Base duration / s]]/ABS[[#This Row],[Yield / ingots]]</f>
        <v>37.5</v>
      </c>
      <c r="Q36" s="12"/>
      <c r="R36" s="12" t="str">
        <f>_xlfn.XLOOKUP(ABS[[#This Row],[Base Temperature / K]],Coils[Temperature / K],Coils[Coil],"",1)</f>
        <v>Cupronickel</v>
      </c>
      <c r="S36" s="12" t="str">
        <f>IF(ABS[[#This Row],[Base Temperature / K]]="","",_xlfn.XLOOKUP(ABS[[#This Row],[Base Temperature / K]]+(1800*1),Coils[Temperature / K],Coils[Coil],"",1))</f>
        <v>Nichrome</v>
      </c>
      <c r="T36" s="12" t="str">
        <f>IF(ABS[[#This Row],[Base Temperature / K]]="","",_xlfn.XLOOKUP(ABS[[#This Row],[Base Temperature / K]]+(1800*2),Coils[Temperature / K],Coils[Coil],"",1))</f>
        <v>HSS-G</v>
      </c>
      <c r="U36" s="12" t="str">
        <f>IF(ABS[[#This Row],[Base Temperature / K]]="","",_xlfn.XLOOKUP(ABS[[#This Row],[Base Temperature / K]]+(1800*3),Coils[Temperature / K],Coils[Coil],"",1))</f>
        <v>Naquadah</v>
      </c>
      <c r="V36" s="12" t="str">
        <f>IF(ABS[[#This Row],[Base Temperature / K]]="","",_xlfn.XLOOKUP(ABS[[#This Row],[Base Temperature / K]]+(1800*4),Coils[Temperature / K],Coils[Coil],"",1))</f>
        <v>Trinium</v>
      </c>
      <c r="W36" s="12" t="str">
        <f>IF(ABS[[#This Row],[Base Temperature / K]]="","",_xlfn.XLOOKUP(ABS[[#This Row],[Base Temperature / K]]+(1800*5),Coils[Temperature / K],Coils[Coil],"",1))</f>
        <v>Tritanium</v>
      </c>
      <c r="X36" s="12" t="str">
        <f>ABS[[#This Row],[Base voltage]]</f>
        <v>HV</v>
      </c>
      <c r="Y36" s="12" t="str">
        <f>ABS[[#This Row],[Base coils]]</f>
        <v>Cupronickel</v>
      </c>
      <c r="Z36" s="11">
        <f>IFERROR(_xlfn.XLOOKUP(ABS[[#This Row],[Coils]],Coils[Coil],Coils[Temperature / K],"",1)+((_xlfn.XLOOKUP(ABS[[#This Row],[Energy hatch]],Voltage[Voltage],Voltage[Voltage tier],"",0)-1)*100),"")</f>
        <v>1900</v>
      </c>
      <c r="AA36" s="13">
        <f>IFERROR(0.95^ROUNDDOWN((ABS[[#This Row],[Heat capacity / K]]-ABS[[#This Row],[Base Temperature / K]])/900,0),"")</f>
        <v>1</v>
      </c>
      <c r="AB36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480</v>
      </c>
      <c r="AC36" s="11">
        <f>ABS[[#This Row],[EU/t]]*4</f>
        <v>1920</v>
      </c>
      <c r="AD36" s="14">
        <f>IFERROR(1/(2^ROUNDDOWN((ABS[[#This Row],[Heat capacity / K]]-ABS[[#This Row],[Base Temperature / K]])/1800,0)),"")</f>
        <v>1</v>
      </c>
      <c r="AE36" s="14">
        <f>IFERROR(1/2^(_xlfn.XLOOKUP(ABS[[#This Row],[Energy hatch]],Voltage[Voltage],Voltage[Voltage tier],"",0)-(_xlfn.XLOOKUP(ABS[[#This Row],[Base voltage]],Voltage[Voltage],Voltage[Voltage tier],"",0))),"")</f>
        <v>1</v>
      </c>
      <c r="AF36" s="15">
        <f>IFERROR(ABS[[#This Row],[Coil overclock ]]*ABS[[#This Row],[Energy overclock]],"")</f>
        <v>1</v>
      </c>
      <c r="AG36" s="16">
        <f>IFERROR(IF(ROUNDDOWN(ABS[[#This Row],[Total OC]]*ABS[[#This Row],[Base duration / s]],1)&lt;0.1,0.1,ROUNDDOWN(ABS[[#This Row],[Total OC]]*ABS[[#This Row],[Base duration / s]],1)),"")</f>
        <v>187.5</v>
      </c>
      <c r="AH36" s="19">
        <f>ABS[[#This Row],[Net duration / s]]/ABS[[#This Row],[Yield / ingots]]</f>
        <v>37.5</v>
      </c>
    </row>
    <row r="37" spans="2:34" x14ac:dyDescent="0.25">
      <c r="B37" s="10" t="s">
        <v>77</v>
      </c>
      <c r="C37" s="10">
        <v>4</v>
      </c>
      <c r="D37" s="10" t="s">
        <v>183</v>
      </c>
      <c r="E37" s="10" t="s">
        <v>94</v>
      </c>
      <c r="F37" s="10" t="s">
        <v>169</v>
      </c>
      <c r="G37" s="10" t="s">
        <v>177</v>
      </c>
      <c r="H37" s="10"/>
      <c r="I37" s="10"/>
      <c r="J37" s="11">
        <v>480</v>
      </c>
      <c r="K37" s="12" t="str">
        <f>_xlfn.XLOOKUP(ABS[[#This Row],[Base EU/T]],Voltage[Voltage / V],Voltage[Voltage],"",1)</f>
        <v>HV</v>
      </c>
      <c r="L37" s="18">
        <v>438.75</v>
      </c>
      <c r="M37" s="11">
        <v>2700</v>
      </c>
      <c r="N37" s="11">
        <v>1296</v>
      </c>
      <c r="O37" s="11">
        <f>ABS[[#This Row],[Yield / L]]/144</f>
        <v>9</v>
      </c>
      <c r="P37" s="17">
        <f>ABS[[#This Row],[Base duration / s]]/ABS[[#This Row],[Yield / ingots]]</f>
        <v>48.75</v>
      </c>
      <c r="Q37" s="12"/>
      <c r="R37" s="12" t="str">
        <f>_xlfn.XLOOKUP(ABS[[#This Row],[Base Temperature / K]],Coils[Temperature / K],Coils[Coil],"",1)</f>
        <v>Kanthal</v>
      </c>
      <c r="S37" s="12" t="str">
        <f>IF(ABS[[#This Row],[Base Temperature / K]]="","",_xlfn.XLOOKUP(ABS[[#This Row],[Base Temperature / K]]+(1800*1),Coils[Temperature / K],Coils[Coil],"",1))</f>
        <v>Tungstensteel</v>
      </c>
      <c r="T37" s="12" t="str">
        <f>IF(ABS[[#This Row],[Base Temperature / K]]="","",_xlfn.XLOOKUP(ABS[[#This Row],[Base Temperature / K]]+(1800*2),Coils[Temperature / K],Coils[Coil],"",1))</f>
        <v>Naquadah</v>
      </c>
      <c r="U37" s="12" t="str">
        <f>IF(ABS[[#This Row],[Base Temperature / K]]="","",_xlfn.XLOOKUP(ABS[[#This Row],[Base Temperature / K]]+(1800*3),Coils[Temperature / K],Coils[Coil],"",1))</f>
        <v>Trinium</v>
      </c>
      <c r="V37" s="12" t="str">
        <f>IF(ABS[[#This Row],[Base Temperature / K]]="","",_xlfn.XLOOKUP(ABS[[#This Row],[Base Temperature / K]]+(1800*4),Coils[Temperature / K],Coils[Coil],"",1))</f>
        <v>Tritanium</v>
      </c>
      <c r="W37" s="12" t="str">
        <f>IF(ABS[[#This Row],[Base Temperature / K]]="","",_xlfn.XLOOKUP(ABS[[#This Row],[Base Temperature / K]]+(1800*5),Coils[Temperature / K],Coils[Coil],"",1))</f>
        <v/>
      </c>
      <c r="X37" s="12" t="str">
        <f>ABS[[#This Row],[Base voltage]]</f>
        <v>HV</v>
      </c>
      <c r="Y37" s="12" t="str">
        <f>ABS[[#This Row],[Base coils]]</f>
        <v>Kanthal</v>
      </c>
      <c r="Z37" s="11">
        <f>IFERROR(_xlfn.XLOOKUP(ABS[[#This Row],[Coils]],Coils[Coil],Coils[Temperature / K],"",1)+((_xlfn.XLOOKUP(ABS[[#This Row],[Energy hatch]],Voltage[Voltage],Voltage[Voltage tier],"",0)-1)*100),"")</f>
        <v>2800</v>
      </c>
      <c r="AA37" s="13">
        <f>IFERROR(0.95^ROUNDDOWN((ABS[[#This Row],[Heat capacity / K]]-ABS[[#This Row],[Base Temperature / K]])/900,0),"")</f>
        <v>1</v>
      </c>
      <c r="AB37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480</v>
      </c>
      <c r="AC37" s="11">
        <f>ABS[[#This Row],[EU/t]]*4</f>
        <v>1920</v>
      </c>
      <c r="AD37" s="14">
        <f>IFERROR(1/(2^ROUNDDOWN((ABS[[#This Row],[Heat capacity / K]]-ABS[[#This Row],[Base Temperature / K]])/1800,0)),"")</f>
        <v>1</v>
      </c>
      <c r="AE37" s="14">
        <f>IFERROR(1/2^(_xlfn.XLOOKUP(ABS[[#This Row],[Energy hatch]],Voltage[Voltage],Voltage[Voltage tier],"",0)-(_xlfn.XLOOKUP(ABS[[#This Row],[Base voltage]],Voltage[Voltage],Voltage[Voltage tier],"",0))),"")</f>
        <v>1</v>
      </c>
      <c r="AF37" s="15">
        <f>IFERROR(ABS[[#This Row],[Coil overclock ]]*ABS[[#This Row],[Energy overclock]],"")</f>
        <v>1</v>
      </c>
      <c r="AG37" s="16">
        <f>IFERROR(IF(ROUNDDOWN(ABS[[#This Row],[Total OC]]*ABS[[#This Row],[Base duration / s]],1)&lt;0.1,0.1,ROUNDDOWN(ABS[[#This Row],[Total OC]]*ABS[[#This Row],[Base duration / s]],1)),"")</f>
        <v>438.7</v>
      </c>
      <c r="AH37" s="19">
        <f>ABS[[#This Row],[Net duration / s]]/ABS[[#This Row],[Yield / ingots]]</f>
        <v>48.74444444444444</v>
      </c>
    </row>
    <row r="38" spans="2:34" x14ac:dyDescent="0.25">
      <c r="B38" s="10" t="s">
        <v>182</v>
      </c>
      <c r="C38" s="10">
        <v>4</v>
      </c>
      <c r="D38" s="10" t="s">
        <v>91</v>
      </c>
      <c r="E38" s="10" t="s">
        <v>179</v>
      </c>
      <c r="F38" s="10" t="s">
        <v>41</v>
      </c>
      <c r="G38" s="10" t="s">
        <v>98</v>
      </c>
      <c r="H38" s="10"/>
      <c r="I38" s="10"/>
      <c r="J38" s="11">
        <v>1920</v>
      </c>
      <c r="K38" s="12" t="str">
        <f>_xlfn.XLOOKUP(ABS[[#This Row],[Base EU/T]],Voltage[Voltage / V],Voltage[Voltage],"",1)</f>
        <v>EV</v>
      </c>
      <c r="L38" s="18">
        <v>390</v>
      </c>
      <c r="M38" s="11">
        <v>3625</v>
      </c>
      <c r="N38" s="11">
        <v>1872</v>
      </c>
      <c r="O38" s="11">
        <f>ABS[[#This Row],[Yield / L]]/144</f>
        <v>13</v>
      </c>
      <c r="P38" s="17">
        <f>ABS[[#This Row],[Base duration / s]]/ABS[[#This Row],[Yield / ingots]]</f>
        <v>30</v>
      </c>
      <c r="Q38" s="12"/>
      <c r="R38" s="12" t="str">
        <f>_xlfn.XLOOKUP(ABS[[#This Row],[Base Temperature / K]],Coils[Temperature / K],Coils[Coil],"",1)</f>
        <v>Tungstensteel</v>
      </c>
      <c r="S38" s="12" t="str">
        <f>IF(ABS[[#This Row],[Base Temperature / K]]="","",_xlfn.XLOOKUP(ABS[[#This Row],[Base Temperature / K]]+(1800*1),Coils[Temperature / K],Coils[Coil],"",1))</f>
        <v>Naquadah</v>
      </c>
      <c r="T38" s="12" t="str">
        <f>IF(ABS[[#This Row],[Base Temperature / K]]="","",_xlfn.XLOOKUP(ABS[[#This Row],[Base Temperature / K]]+(1800*2),Coils[Temperature / K],Coils[Coil],"",1))</f>
        <v>Trinium</v>
      </c>
      <c r="U38" s="12" t="str">
        <f>IF(ABS[[#This Row],[Base Temperature / K]]="","",_xlfn.XLOOKUP(ABS[[#This Row],[Base Temperature / K]]+(1800*3),Coils[Temperature / K],Coils[Coil],"",1))</f>
        <v>Tritanium</v>
      </c>
      <c r="V38" s="12" t="str">
        <f>IF(ABS[[#This Row],[Base Temperature / K]]="","",_xlfn.XLOOKUP(ABS[[#This Row],[Base Temperature / K]]+(1800*4),Coils[Temperature / K],Coils[Coil],"",1))</f>
        <v/>
      </c>
      <c r="W38" s="12" t="str">
        <f>IF(ABS[[#This Row],[Base Temperature / K]]="","",_xlfn.XLOOKUP(ABS[[#This Row],[Base Temperature / K]]+(1800*5),Coils[Temperature / K],Coils[Coil],"",1))</f>
        <v/>
      </c>
      <c r="X38" s="12" t="str">
        <f>ABS[[#This Row],[Base voltage]]</f>
        <v>EV</v>
      </c>
      <c r="Y38" s="12" t="str">
        <f>ABS[[#This Row],[Base coils]]</f>
        <v>Tungstensteel</v>
      </c>
      <c r="Z38" s="11">
        <f>IFERROR(_xlfn.XLOOKUP(ABS[[#This Row],[Coils]],Coils[Coil],Coils[Temperature / K],"",1)+((_xlfn.XLOOKUP(ABS[[#This Row],[Energy hatch]],Voltage[Voltage],Voltage[Voltage tier],"",0)-1)*100),"")</f>
        <v>4700</v>
      </c>
      <c r="AA38" s="13">
        <f>IFERROR(0.95^ROUNDDOWN((ABS[[#This Row],[Heat capacity / K]]-ABS[[#This Row],[Base Temperature / K]])/900,0),"")</f>
        <v>0.95</v>
      </c>
      <c r="AB38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1824</v>
      </c>
      <c r="AC38" s="11">
        <f>ABS[[#This Row],[EU/t]]*4</f>
        <v>7296</v>
      </c>
      <c r="AD38" s="14">
        <f>IFERROR(1/(2^ROUNDDOWN((ABS[[#This Row],[Heat capacity / K]]-ABS[[#This Row],[Base Temperature / K]])/1800,0)),"")</f>
        <v>1</v>
      </c>
      <c r="AE38" s="14">
        <f>IFERROR(1/2^(_xlfn.XLOOKUP(ABS[[#This Row],[Energy hatch]],Voltage[Voltage],Voltage[Voltage tier],"",0)-(_xlfn.XLOOKUP(ABS[[#This Row],[Base voltage]],Voltage[Voltage],Voltage[Voltage tier],"",0))),"")</f>
        <v>1</v>
      </c>
      <c r="AF38" s="15">
        <f>IFERROR(ABS[[#This Row],[Coil overclock ]]*ABS[[#This Row],[Energy overclock]],"")</f>
        <v>1</v>
      </c>
      <c r="AG38" s="16">
        <f>IFERROR(IF(ROUNDDOWN(ABS[[#This Row],[Total OC]]*ABS[[#This Row],[Base duration / s]],1)&lt;0.1,0.1,ROUNDDOWN(ABS[[#This Row],[Total OC]]*ABS[[#This Row],[Base duration / s]],1)),"")</f>
        <v>390</v>
      </c>
      <c r="AH38" s="19">
        <f>ABS[[#This Row],[Net duration / s]]/ABS[[#This Row],[Yield / ingots]]</f>
        <v>30</v>
      </c>
    </row>
    <row r="39" spans="2:34" x14ac:dyDescent="0.25">
      <c r="B39" s="10" t="s">
        <v>181</v>
      </c>
      <c r="C39" s="10">
        <v>4</v>
      </c>
      <c r="D39" s="10" t="s">
        <v>161</v>
      </c>
      <c r="E39" s="10" t="s">
        <v>94</v>
      </c>
      <c r="F39" s="10" t="s">
        <v>82</v>
      </c>
      <c r="G39" s="10" t="s">
        <v>177</v>
      </c>
      <c r="H39" s="10"/>
      <c r="I39" s="10"/>
      <c r="J39" s="11">
        <v>1920</v>
      </c>
      <c r="K39" s="12" t="str">
        <f>_xlfn.XLOOKUP(ABS[[#This Row],[Base EU/T]],Voltage[Voltage / V],Voltage[Voltage],"",1)</f>
        <v>EV</v>
      </c>
      <c r="L39" s="18">
        <v>375</v>
      </c>
      <c r="M39" s="11">
        <v>3790</v>
      </c>
      <c r="N39" s="11">
        <v>1440</v>
      </c>
      <c r="O39" s="11">
        <f>ABS[[#This Row],[Yield / L]]/144</f>
        <v>10</v>
      </c>
      <c r="P39" s="17">
        <f>ABS[[#This Row],[Base duration / s]]/ABS[[#This Row],[Yield / ingots]]</f>
        <v>37.5</v>
      </c>
      <c r="Q39" s="12"/>
      <c r="R39" s="12" t="str">
        <f>_xlfn.XLOOKUP(ABS[[#This Row],[Base Temperature / K]],Coils[Temperature / K],Coils[Coil],"",1)</f>
        <v>Tungstensteel</v>
      </c>
      <c r="S39" s="12" t="str">
        <f>IF(ABS[[#This Row],[Base Temperature / K]]="","",_xlfn.XLOOKUP(ABS[[#This Row],[Base Temperature / K]]+(1800*1),Coils[Temperature / K],Coils[Coil],"",1))</f>
        <v>Naquadah</v>
      </c>
      <c r="T39" s="12" t="str">
        <f>IF(ABS[[#This Row],[Base Temperature / K]]="","",_xlfn.XLOOKUP(ABS[[#This Row],[Base Temperature / K]]+(1800*2),Coils[Temperature / K],Coils[Coil],"",1))</f>
        <v>Trinium</v>
      </c>
      <c r="U39" s="12" t="str">
        <f>IF(ABS[[#This Row],[Base Temperature / K]]="","",_xlfn.XLOOKUP(ABS[[#This Row],[Base Temperature / K]]+(1800*3),Coils[Temperature / K],Coils[Coil],"",1))</f>
        <v>Tritanium</v>
      </c>
      <c r="V39" s="12" t="str">
        <f>IF(ABS[[#This Row],[Base Temperature / K]]="","",_xlfn.XLOOKUP(ABS[[#This Row],[Base Temperature / K]]+(1800*4),Coils[Temperature / K],Coils[Coil],"",1))</f>
        <v/>
      </c>
      <c r="W39" s="12" t="str">
        <f>IF(ABS[[#This Row],[Base Temperature / K]]="","",_xlfn.XLOOKUP(ABS[[#This Row],[Base Temperature / K]]+(1800*5),Coils[Temperature / K],Coils[Coil],"",1))</f>
        <v/>
      </c>
      <c r="X39" s="12" t="str">
        <f>ABS[[#This Row],[Base voltage]]</f>
        <v>EV</v>
      </c>
      <c r="Y39" s="12" t="str">
        <f>ABS[[#This Row],[Base coils]]</f>
        <v>Tungstensteel</v>
      </c>
      <c r="Z39" s="11">
        <f>IFERROR(_xlfn.XLOOKUP(ABS[[#This Row],[Coils]],Coils[Coil],Coils[Temperature / K],"",1)+((_xlfn.XLOOKUP(ABS[[#This Row],[Energy hatch]],Voltage[Voltage],Voltage[Voltage tier],"",0)-1)*100),"")</f>
        <v>4700</v>
      </c>
      <c r="AA39" s="13">
        <f>IFERROR(0.95^ROUNDDOWN((ABS[[#This Row],[Heat capacity / K]]-ABS[[#This Row],[Base Temperature / K]])/900,0),"")</f>
        <v>0.95</v>
      </c>
      <c r="AB39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1824</v>
      </c>
      <c r="AC39" s="11">
        <f>ABS[[#This Row],[EU/t]]*4</f>
        <v>7296</v>
      </c>
      <c r="AD39" s="14">
        <f>IFERROR(1/(2^ROUNDDOWN((ABS[[#This Row],[Heat capacity / K]]-ABS[[#This Row],[Base Temperature / K]])/1800,0)),"")</f>
        <v>1</v>
      </c>
      <c r="AE39" s="14">
        <f>IFERROR(1/2^(_xlfn.XLOOKUP(ABS[[#This Row],[Energy hatch]],Voltage[Voltage],Voltage[Voltage tier],"",0)-(_xlfn.XLOOKUP(ABS[[#This Row],[Base voltage]],Voltage[Voltage],Voltage[Voltage tier],"",0))),"")</f>
        <v>1</v>
      </c>
      <c r="AF39" s="15">
        <f>IFERROR(ABS[[#This Row],[Coil overclock ]]*ABS[[#This Row],[Energy overclock]],"")</f>
        <v>1</v>
      </c>
      <c r="AG39" s="16">
        <f>IFERROR(IF(ROUNDDOWN(ABS[[#This Row],[Total OC]]*ABS[[#This Row],[Base duration / s]],1)&lt;0.1,0.1,ROUNDDOWN(ABS[[#This Row],[Total OC]]*ABS[[#This Row],[Base duration / s]],1)),"")</f>
        <v>375</v>
      </c>
      <c r="AH39" s="19">
        <f>ABS[[#This Row],[Net duration / s]]/ABS[[#This Row],[Yield / ingots]]</f>
        <v>37.5</v>
      </c>
    </row>
    <row r="40" spans="2:34" x14ac:dyDescent="0.25">
      <c r="B40" s="10" t="s">
        <v>99</v>
      </c>
      <c r="C40" s="10">
        <v>4</v>
      </c>
      <c r="D40" s="10" t="s">
        <v>186</v>
      </c>
      <c r="E40" s="10" t="s">
        <v>187</v>
      </c>
      <c r="F40" s="10" t="s">
        <v>188</v>
      </c>
      <c r="G40" s="10" t="s">
        <v>189</v>
      </c>
      <c r="H40" s="10"/>
      <c r="I40" s="10"/>
      <c r="J40" s="11">
        <v>120</v>
      </c>
      <c r="K40" s="12" t="str">
        <f>_xlfn.XLOOKUP(ABS[[#This Row],[Base EU/T]],Voltage[Voltage / V],Voltage[Voltage],"",1)</f>
        <v>MV</v>
      </c>
      <c r="L40" s="18">
        <v>2560</v>
      </c>
      <c r="M40" s="11">
        <v>4000</v>
      </c>
      <c r="N40" s="11">
        <v>576</v>
      </c>
      <c r="O40" s="11">
        <f>ABS[[#This Row],[Yield / L]]/144</f>
        <v>4</v>
      </c>
      <c r="P40" s="17">
        <f>ABS[[#This Row],[Base duration / s]]/ABS[[#This Row],[Yield / ingots]]</f>
        <v>640</v>
      </c>
      <c r="Q40" s="12"/>
      <c r="R40" s="12" t="str">
        <f>_xlfn.XLOOKUP(ABS[[#This Row],[Base Temperature / K]],Coils[Temperature / K],Coils[Coil],"",1)</f>
        <v>Tungstensteel</v>
      </c>
      <c r="S40" s="12" t="str">
        <f>IF(ABS[[#This Row],[Base Temperature / K]]="","",_xlfn.XLOOKUP(ABS[[#This Row],[Base Temperature / K]]+(1800*1),Coils[Temperature / K],Coils[Coil],"",1))</f>
        <v>Naquadah</v>
      </c>
      <c r="T40" s="12" t="str">
        <f>IF(ABS[[#This Row],[Base Temperature / K]]="","",_xlfn.XLOOKUP(ABS[[#This Row],[Base Temperature / K]]+(1800*2),Coils[Temperature / K],Coils[Coil],"",1))</f>
        <v>Trinium</v>
      </c>
      <c r="U40" s="12" t="str">
        <f>IF(ABS[[#This Row],[Base Temperature / K]]="","",_xlfn.XLOOKUP(ABS[[#This Row],[Base Temperature / K]]+(1800*3),Coils[Temperature / K],Coils[Coil],"",1))</f>
        <v>Tritanium</v>
      </c>
      <c r="V40" s="12" t="str">
        <f>IF(ABS[[#This Row],[Base Temperature / K]]="","",_xlfn.XLOOKUP(ABS[[#This Row],[Base Temperature / K]]+(1800*4),Coils[Temperature / K],Coils[Coil],"",1))</f>
        <v/>
      </c>
      <c r="W40" s="12" t="str">
        <f>IF(ABS[[#This Row],[Base Temperature / K]]="","",_xlfn.XLOOKUP(ABS[[#This Row],[Base Temperature / K]]+(1800*5),Coils[Temperature / K],Coils[Coil],"",1))</f>
        <v/>
      </c>
      <c r="X40" s="12" t="str">
        <f>ABS[[#This Row],[Base voltage]]</f>
        <v>MV</v>
      </c>
      <c r="Y40" s="12" t="str">
        <f>ABS[[#This Row],[Base coils]]</f>
        <v>Tungstensteel</v>
      </c>
      <c r="Z40" s="11">
        <f>IFERROR(_xlfn.XLOOKUP(ABS[[#This Row],[Coils]],Coils[Coil],Coils[Temperature / K],"",1)+((_xlfn.XLOOKUP(ABS[[#This Row],[Energy hatch]],Voltage[Voltage],Voltage[Voltage tier],"",0)-1)*100),"")</f>
        <v>4500</v>
      </c>
      <c r="AA40" s="13">
        <f>IFERROR(0.95^ROUNDDOWN((ABS[[#This Row],[Heat capacity / K]]-ABS[[#This Row],[Base Temperature / K]])/900,0),"")</f>
        <v>1</v>
      </c>
      <c r="AB40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120</v>
      </c>
      <c r="AC40" s="11">
        <f>ABS[[#This Row],[EU/t]]*4</f>
        <v>480</v>
      </c>
      <c r="AD40" s="14">
        <f>IFERROR(1/(2^ROUNDDOWN((ABS[[#This Row],[Heat capacity / K]]-ABS[[#This Row],[Base Temperature / K]])/1800,0)),"")</f>
        <v>1</v>
      </c>
      <c r="AE40" s="14">
        <f>IFERROR(1/2^(_xlfn.XLOOKUP(ABS[[#This Row],[Energy hatch]],Voltage[Voltage],Voltage[Voltage tier],"",0)-(_xlfn.XLOOKUP(ABS[[#This Row],[Base voltage]],Voltage[Voltage],Voltage[Voltage tier],"",0))),"")</f>
        <v>1</v>
      </c>
      <c r="AF40" s="15">
        <f>IFERROR(ABS[[#This Row],[Coil overclock ]]*ABS[[#This Row],[Energy overclock]],"")</f>
        <v>1</v>
      </c>
      <c r="AG40" s="16">
        <f>IFERROR(IF(ROUNDDOWN(ABS[[#This Row],[Total OC]]*ABS[[#This Row],[Base duration / s]],1)&lt;0.1,0.1,ROUNDDOWN(ABS[[#This Row],[Total OC]]*ABS[[#This Row],[Base duration / s]],1)),"")</f>
        <v>2560</v>
      </c>
      <c r="AH40" s="19">
        <f>ABS[[#This Row],[Net duration / s]]/ABS[[#This Row],[Yield / ingots]]</f>
        <v>640</v>
      </c>
    </row>
    <row r="41" spans="2:34" x14ac:dyDescent="0.25">
      <c r="B41" s="10" t="s">
        <v>79</v>
      </c>
      <c r="C41" s="10">
        <v>4</v>
      </c>
      <c r="D41" s="10" t="s">
        <v>64</v>
      </c>
      <c r="E41" s="10" t="s">
        <v>94</v>
      </c>
      <c r="F41" s="10" t="s">
        <v>169</v>
      </c>
      <c r="G41" s="10" t="s">
        <v>84</v>
      </c>
      <c r="H41" s="10"/>
      <c r="I41" s="10"/>
      <c r="J41" s="11">
        <v>1920</v>
      </c>
      <c r="K41" s="12" t="str">
        <f>_xlfn.XLOOKUP(ABS[[#This Row],[Base EU/T]],Voltage[Voltage / V],Voltage[Voltage],"",1)</f>
        <v>EV</v>
      </c>
      <c r="L41" s="18">
        <v>438.75</v>
      </c>
      <c r="M41" s="11">
        <v>4200</v>
      </c>
      <c r="N41" s="11">
        <v>1296</v>
      </c>
      <c r="O41" s="11">
        <f>ABS[[#This Row],[Yield / L]]/144</f>
        <v>9</v>
      </c>
      <c r="P41" s="17">
        <f>ABS[[#This Row],[Base duration / s]]/ABS[[#This Row],[Yield / ingots]]</f>
        <v>48.75</v>
      </c>
      <c r="Q41" s="12"/>
      <c r="R41" s="12" t="str">
        <f>_xlfn.XLOOKUP(ABS[[#This Row],[Base Temperature / K]],Coils[Temperature / K],Coils[Coil],"",1)</f>
        <v>Tungstensteel</v>
      </c>
      <c r="S41" s="12" t="str">
        <f>IF(ABS[[#This Row],[Base Temperature / K]]="","",_xlfn.XLOOKUP(ABS[[#This Row],[Base Temperature / K]]+(1800*1),Coils[Temperature / K],Coils[Coil],"",1))</f>
        <v>Naquadah</v>
      </c>
      <c r="T41" s="12" t="str">
        <f>IF(ABS[[#This Row],[Base Temperature / K]]="","",_xlfn.XLOOKUP(ABS[[#This Row],[Base Temperature / K]]+(1800*2),Coils[Temperature / K],Coils[Coil],"",1))</f>
        <v>Trinium</v>
      </c>
      <c r="U41" s="12" t="str">
        <f>IF(ABS[[#This Row],[Base Temperature / K]]="","",_xlfn.XLOOKUP(ABS[[#This Row],[Base Temperature / K]]+(1800*3),Coils[Temperature / K],Coils[Coil],"",1))</f>
        <v>Tritanium</v>
      </c>
      <c r="V41" s="12" t="str">
        <f>IF(ABS[[#This Row],[Base Temperature / K]]="","",_xlfn.XLOOKUP(ABS[[#This Row],[Base Temperature / K]]+(1800*4),Coils[Temperature / K],Coils[Coil],"",1))</f>
        <v/>
      </c>
      <c r="W41" s="12" t="str">
        <f>IF(ABS[[#This Row],[Base Temperature / K]]="","",_xlfn.XLOOKUP(ABS[[#This Row],[Base Temperature / K]]+(1800*5),Coils[Temperature / K],Coils[Coil],"",1))</f>
        <v/>
      </c>
      <c r="X41" s="12" t="str">
        <f>ABS[[#This Row],[Base voltage]]</f>
        <v>EV</v>
      </c>
      <c r="Y41" s="12" t="str">
        <f>ABS[[#This Row],[Base coils]]</f>
        <v>Tungstensteel</v>
      </c>
      <c r="Z41" s="11">
        <f>IFERROR(_xlfn.XLOOKUP(ABS[[#This Row],[Coils]],Coils[Coil],Coils[Temperature / K],"",1)+((_xlfn.XLOOKUP(ABS[[#This Row],[Energy hatch]],Voltage[Voltage],Voltage[Voltage tier],"",0)-1)*100),"")</f>
        <v>4700</v>
      </c>
      <c r="AA41" s="13">
        <f>IFERROR(0.95^ROUNDDOWN((ABS[[#This Row],[Heat capacity / K]]-ABS[[#This Row],[Base Temperature / K]])/900,0),"")</f>
        <v>1</v>
      </c>
      <c r="AB41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1920</v>
      </c>
      <c r="AC41" s="11">
        <f>ABS[[#This Row],[EU/t]]*4</f>
        <v>7680</v>
      </c>
      <c r="AD41" s="14">
        <f>IFERROR(1/(2^ROUNDDOWN((ABS[[#This Row],[Heat capacity / K]]-ABS[[#This Row],[Base Temperature / K]])/1800,0)),"")</f>
        <v>1</v>
      </c>
      <c r="AE41" s="14">
        <f>IFERROR(1/2^(_xlfn.XLOOKUP(ABS[[#This Row],[Energy hatch]],Voltage[Voltage],Voltage[Voltage tier],"",0)-(_xlfn.XLOOKUP(ABS[[#This Row],[Base voltage]],Voltage[Voltage],Voltage[Voltage tier],"",0))),"")</f>
        <v>1</v>
      </c>
      <c r="AF41" s="15">
        <f>IFERROR(ABS[[#This Row],[Coil overclock ]]*ABS[[#This Row],[Energy overclock]],"")</f>
        <v>1</v>
      </c>
      <c r="AG41" s="16">
        <f>IFERROR(IF(ROUNDDOWN(ABS[[#This Row],[Total OC]]*ABS[[#This Row],[Base duration / s]],1)&lt;0.1,0.1,ROUNDDOWN(ABS[[#This Row],[Total OC]]*ABS[[#This Row],[Base duration / s]],1)),"")</f>
        <v>438.7</v>
      </c>
      <c r="AH41" s="19">
        <f>ABS[[#This Row],[Net duration / s]]/ABS[[#This Row],[Yield / ingots]]</f>
        <v>48.74444444444444</v>
      </c>
    </row>
    <row r="42" spans="2:34" x14ac:dyDescent="0.25">
      <c r="B42" s="10" t="s">
        <v>100</v>
      </c>
      <c r="C42" s="10">
        <v>4</v>
      </c>
      <c r="D42" s="10" t="s">
        <v>190</v>
      </c>
      <c r="E42" s="10" t="s">
        <v>55</v>
      </c>
      <c r="F42" s="10" t="s">
        <v>191</v>
      </c>
      <c r="G42" s="10" t="s">
        <v>192</v>
      </c>
      <c r="H42" s="10"/>
      <c r="I42" s="10"/>
      <c r="J42" s="11">
        <v>120</v>
      </c>
      <c r="K42" s="12" t="str">
        <f>_xlfn.XLOOKUP(ABS[[#This Row],[Base EU/T]],Voltage[Voltage / V],Voltage[Voltage],"",1)</f>
        <v>MV</v>
      </c>
      <c r="L42" s="18">
        <v>2880</v>
      </c>
      <c r="M42" s="11">
        <v>4500</v>
      </c>
      <c r="N42" s="11">
        <v>576</v>
      </c>
      <c r="O42" s="11">
        <f>ABS[[#This Row],[Yield / L]]/144</f>
        <v>4</v>
      </c>
      <c r="P42" s="17">
        <f>ABS[[#This Row],[Base duration / s]]/ABS[[#This Row],[Yield / ingots]]</f>
        <v>720</v>
      </c>
      <c r="Q42" s="12"/>
      <c r="R42" s="12" t="str">
        <f>_xlfn.XLOOKUP(ABS[[#This Row],[Base Temperature / K]],Coils[Temperature / K],Coils[Coil],"",1)</f>
        <v>Tungstensteel</v>
      </c>
      <c r="S42" s="12" t="str">
        <f>IF(ABS[[#This Row],[Base Temperature / K]]="","",_xlfn.XLOOKUP(ABS[[#This Row],[Base Temperature / K]]+(1800*1),Coils[Temperature / K],Coils[Coil],"",1))</f>
        <v>Naquadah</v>
      </c>
      <c r="T42" s="12" t="str">
        <f>IF(ABS[[#This Row],[Base Temperature / K]]="","",_xlfn.XLOOKUP(ABS[[#This Row],[Base Temperature / K]]+(1800*2),Coils[Temperature / K],Coils[Coil],"",1))</f>
        <v>Trinium</v>
      </c>
      <c r="U42" s="12" t="str">
        <f>IF(ABS[[#This Row],[Base Temperature / K]]="","",_xlfn.XLOOKUP(ABS[[#This Row],[Base Temperature / K]]+(1800*3),Coils[Temperature / K],Coils[Coil],"",1))</f>
        <v>Tritanium</v>
      </c>
      <c r="V42" s="12" t="str">
        <f>IF(ABS[[#This Row],[Base Temperature / K]]="","",_xlfn.XLOOKUP(ABS[[#This Row],[Base Temperature / K]]+(1800*4),Coils[Temperature / K],Coils[Coil],"",1))</f>
        <v/>
      </c>
      <c r="W42" s="12" t="str">
        <f>IF(ABS[[#This Row],[Base Temperature / K]]="","",_xlfn.XLOOKUP(ABS[[#This Row],[Base Temperature / K]]+(1800*5),Coils[Temperature / K],Coils[Coil],"",1))</f>
        <v/>
      </c>
      <c r="X42" s="12" t="str">
        <f>ABS[[#This Row],[Base voltage]]</f>
        <v>MV</v>
      </c>
      <c r="Y42" s="12" t="str">
        <f>ABS[[#This Row],[Base coils]]</f>
        <v>Tungstensteel</v>
      </c>
      <c r="Z42" s="11">
        <f>IFERROR(_xlfn.XLOOKUP(ABS[[#This Row],[Coils]],Coils[Coil],Coils[Temperature / K],"",1)+((_xlfn.XLOOKUP(ABS[[#This Row],[Energy hatch]],Voltage[Voltage],Voltage[Voltage tier],"",0)-1)*100),"")</f>
        <v>4500</v>
      </c>
      <c r="AA42" s="13">
        <f>IFERROR(0.95^ROUNDDOWN((ABS[[#This Row],[Heat capacity / K]]-ABS[[#This Row],[Base Temperature / K]])/900,0),"")</f>
        <v>1</v>
      </c>
      <c r="AB42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120</v>
      </c>
      <c r="AC42" s="11">
        <f>ABS[[#This Row],[EU/t]]*4</f>
        <v>480</v>
      </c>
      <c r="AD42" s="14">
        <f>IFERROR(1/(2^ROUNDDOWN((ABS[[#This Row],[Heat capacity / K]]-ABS[[#This Row],[Base Temperature / K]])/1800,0)),"")</f>
        <v>1</v>
      </c>
      <c r="AE42" s="14">
        <f>IFERROR(1/2^(_xlfn.XLOOKUP(ABS[[#This Row],[Energy hatch]],Voltage[Voltage],Voltage[Voltage tier],"",0)-(_xlfn.XLOOKUP(ABS[[#This Row],[Base voltage]],Voltage[Voltage],Voltage[Voltage tier],"",0))),"")</f>
        <v>1</v>
      </c>
      <c r="AF42" s="15">
        <f>IFERROR(ABS[[#This Row],[Coil overclock ]]*ABS[[#This Row],[Energy overclock]],"")</f>
        <v>1</v>
      </c>
      <c r="AG42" s="16">
        <f>IFERROR(IF(ROUNDDOWN(ABS[[#This Row],[Total OC]]*ABS[[#This Row],[Base duration / s]],1)&lt;0.1,0.1,ROUNDDOWN(ABS[[#This Row],[Total OC]]*ABS[[#This Row],[Base duration / s]],1)),"")</f>
        <v>2880</v>
      </c>
      <c r="AH42" s="19">
        <f>ABS[[#This Row],[Net duration / s]]/ABS[[#This Row],[Yield / ingots]]</f>
        <v>720</v>
      </c>
    </row>
    <row r="43" spans="2:34" x14ac:dyDescent="0.25">
      <c r="B43" s="10" t="s">
        <v>83</v>
      </c>
      <c r="C43" s="10">
        <v>4</v>
      </c>
      <c r="D43" s="10" t="s">
        <v>79</v>
      </c>
      <c r="E43" s="10" t="s">
        <v>183</v>
      </c>
      <c r="F43" s="10" t="s">
        <v>179</v>
      </c>
      <c r="G43" s="10" t="s">
        <v>158</v>
      </c>
      <c r="H43" s="10"/>
      <c r="I43" s="10"/>
      <c r="J43" s="11">
        <v>1920</v>
      </c>
      <c r="K43" s="12" t="str">
        <f>_xlfn.XLOOKUP(ABS[[#This Row],[Base EU/T]],Voltage[Voltage / V],Voltage[Voltage],"",1)</f>
        <v>EV</v>
      </c>
      <c r="L43" s="18">
        <v>472.5</v>
      </c>
      <c r="M43" s="11">
        <v>5000</v>
      </c>
      <c r="N43" s="11">
        <v>1296</v>
      </c>
      <c r="O43" s="11">
        <f>ABS[[#This Row],[Yield / L]]/144</f>
        <v>9</v>
      </c>
      <c r="P43" s="17">
        <f>ABS[[#This Row],[Base duration / s]]/ABS[[#This Row],[Yield / ingots]]</f>
        <v>52.5</v>
      </c>
      <c r="Q43" s="12"/>
      <c r="R43" s="12" t="str">
        <f>_xlfn.XLOOKUP(ABS[[#This Row],[Base Temperature / K]],Coils[Temperature / K],Coils[Coil],"",1)</f>
        <v>HSS-G</v>
      </c>
      <c r="S43" s="12" t="str">
        <f>IF(ABS[[#This Row],[Base Temperature / K]]="","",_xlfn.XLOOKUP(ABS[[#This Row],[Base Temperature / K]]+(1800*1),Coils[Temperature / K],Coils[Coil],"",1))</f>
        <v>Naquadah</v>
      </c>
      <c r="T43" s="12" t="str">
        <f>IF(ABS[[#This Row],[Base Temperature / K]]="","",_xlfn.XLOOKUP(ABS[[#This Row],[Base Temperature / K]]+(1800*2),Coils[Temperature / K],Coils[Coil],"",1))</f>
        <v>Trinium</v>
      </c>
      <c r="U43" s="12" t="str">
        <f>IF(ABS[[#This Row],[Base Temperature / K]]="","",_xlfn.XLOOKUP(ABS[[#This Row],[Base Temperature / K]]+(1800*3),Coils[Temperature / K],Coils[Coil],"",1))</f>
        <v>Tritanium</v>
      </c>
      <c r="V43" s="12" t="str">
        <f>IF(ABS[[#This Row],[Base Temperature / K]]="","",_xlfn.XLOOKUP(ABS[[#This Row],[Base Temperature / K]]+(1800*4),Coils[Temperature / K],Coils[Coil],"",1))</f>
        <v/>
      </c>
      <c r="W43" s="12" t="str">
        <f>IF(ABS[[#This Row],[Base Temperature / K]]="","",_xlfn.XLOOKUP(ABS[[#This Row],[Base Temperature / K]]+(1800*5),Coils[Temperature / K],Coils[Coil],"",1))</f>
        <v/>
      </c>
      <c r="X43" s="12" t="str">
        <f>ABS[[#This Row],[Base voltage]]</f>
        <v>EV</v>
      </c>
      <c r="Y43" s="12" t="str">
        <f>ABS[[#This Row],[Base coils]]</f>
        <v>HSS-G</v>
      </c>
      <c r="Z43" s="11">
        <f>IFERROR(_xlfn.XLOOKUP(ABS[[#This Row],[Coils]],Coils[Coil],Coils[Temperature / K],"",1)+((_xlfn.XLOOKUP(ABS[[#This Row],[Energy hatch]],Voltage[Voltage],Voltage[Voltage tier],"",0)-1)*100),"")</f>
        <v>5600</v>
      </c>
      <c r="AA43" s="13">
        <f>IFERROR(0.95^ROUNDDOWN((ABS[[#This Row],[Heat capacity / K]]-ABS[[#This Row],[Base Temperature / K]])/900,0),"")</f>
        <v>1</v>
      </c>
      <c r="AB43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1920</v>
      </c>
      <c r="AC43" s="11">
        <f>ABS[[#This Row],[EU/t]]*4</f>
        <v>7680</v>
      </c>
      <c r="AD43" s="14">
        <f>IFERROR(1/(2^ROUNDDOWN((ABS[[#This Row],[Heat capacity / K]]-ABS[[#This Row],[Base Temperature / K]])/1800,0)),"")</f>
        <v>1</v>
      </c>
      <c r="AE43" s="14">
        <f>IFERROR(1/2^(_xlfn.XLOOKUP(ABS[[#This Row],[Energy hatch]],Voltage[Voltage],Voltage[Voltage tier],"",0)-(_xlfn.XLOOKUP(ABS[[#This Row],[Base voltage]],Voltage[Voltage],Voltage[Voltage tier],"",0))),"")</f>
        <v>1</v>
      </c>
      <c r="AF43" s="15">
        <f>IFERROR(ABS[[#This Row],[Coil overclock ]]*ABS[[#This Row],[Energy overclock]],"")</f>
        <v>1</v>
      </c>
      <c r="AG43" s="16">
        <f>IFERROR(IF(ROUNDDOWN(ABS[[#This Row],[Total OC]]*ABS[[#This Row],[Base duration / s]],1)&lt;0.1,0.1,ROUNDDOWN(ABS[[#This Row],[Total OC]]*ABS[[#This Row],[Base duration / s]],1)),"")</f>
        <v>472.5</v>
      </c>
      <c r="AH43" s="19">
        <f>ABS[[#This Row],[Net duration / s]]/ABS[[#This Row],[Yield / ingots]]</f>
        <v>52.5</v>
      </c>
    </row>
    <row r="44" spans="2:34" x14ac:dyDescent="0.25">
      <c r="B44" s="10" t="s">
        <v>20</v>
      </c>
      <c r="C44" s="10">
        <v>4</v>
      </c>
      <c r="D44" s="10" t="s">
        <v>45</v>
      </c>
      <c r="E44" s="10" t="s">
        <v>71</v>
      </c>
      <c r="F44" s="10" t="s">
        <v>35</v>
      </c>
      <c r="G44" s="10" t="s">
        <v>180</v>
      </c>
      <c r="H44" s="10"/>
      <c r="I44" s="10"/>
      <c r="J44" s="11">
        <v>30720</v>
      </c>
      <c r="K44" s="12" t="str">
        <f>_xlfn.XLOOKUP(ABS[[#This Row],[Base EU/T]],Voltage[Voltage / V],Voltage[Voltage],"",1)</f>
        <v>LuV</v>
      </c>
      <c r="L44" s="18">
        <v>375</v>
      </c>
      <c r="M44" s="11">
        <v>9900</v>
      </c>
      <c r="N44" s="11">
        <v>1440</v>
      </c>
      <c r="O44" s="11">
        <f>ABS[[#This Row],[Yield / L]]/144</f>
        <v>10</v>
      </c>
      <c r="P44" s="17">
        <f>ABS[[#This Row],[Base duration / s]]/ABS[[#This Row],[Yield / ingots]]</f>
        <v>37.5</v>
      </c>
      <c r="Q44" s="12"/>
      <c r="R44" s="12" t="str">
        <f>_xlfn.XLOOKUP(ABS[[#This Row],[Base Temperature / K]],Coils[Temperature / K],Coils[Coil],"",1)</f>
        <v>Tritanium</v>
      </c>
      <c r="S44" s="12" t="str">
        <f>IF(ABS[[#This Row],[Base Temperature / K]]="","",_xlfn.XLOOKUP(ABS[[#This Row],[Base Temperature / K]]+(1800*1),Coils[Temperature / K],Coils[Coil],"",1))</f>
        <v/>
      </c>
      <c r="T44" s="12" t="str">
        <f>IF(ABS[[#This Row],[Base Temperature / K]]="","",_xlfn.XLOOKUP(ABS[[#This Row],[Base Temperature / K]]+(1800*2),Coils[Temperature / K],Coils[Coil],"",1))</f>
        <v/>
      </c>
      <c r="U44" s="12" t="str">
        <f>IF(ABS[[#This Row],[Base Temperature / K]]="","",_xlfn.XLOOKUP(ABS[[#This Row],[Base Temperature / K]]+(1800*3),Coils[Temperature / K],Coils[Coil],"",1))</f>
        <v/>
      </c>
      <c r="V44" s="12" t="str">
        <f>IF(ABS[[#This Row],[Base Temperature / K]]="","",_xlfn.XLOOKUP(ABS[[#This Row],[Base Temperature / K]]+(1800*4),Coils[Temperature / K],Coils[Coil],"",1))</f>
        <v/>
      </c>
      <c r="W44" s="12" t="str">
        <f>IF(ABS[[#This Row],[Base Temperature / K]]="","",_xlfn.XLOOKUP(ABS[[#This Row],[Base Temperature / K]]+(1800*5),Coils[Temperature / K],Coils[Coil],"",1))</f>
        <v/>
      </c>
      <c r="X44" s="12" t="str">
        <f>ABS[[#This Row],[Base voltage]]</f>
        <v>LuV</v>
      </c>
      <c r="Y44" s="12" t="str">
        <f>ABS[[#This Row],[Base coils]]</f>
        <v>Tritanium</v>
      </c>
      <c r="Z44" s="11">
        <f>IFERROR(_xlfn.XLOOKUP(ABS[[#This Row],[Coils]],Coils[Coil],Coils[Temperature / K],"",1)+((_xlfn.XLOOKUP(ABS[[#This Row],[Energy hatch]],Voltage[Voltage],Voltage[Voltage tier],"",0)-1)*100),"")</f>
        <v>11200</v>
      </c>
      <c r="AA44" s="13">
        <f>IFERROR(0.95^ROUNDDOWN((ABS[[#This Row],[Heat capacity / K]]-ABS[[#This Row],[Base Temperature / K]])/900,0),"")</f>
        <v>0.95</v>
      </c>
      <c r="AB44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29184</v>
      </c>
      <c r="AC44" s="11">
        <f>ABS[[#This Row],[EU/t]]*4</f>
        <v>116736</v>
      </c>
      <c r="AD44" s="14">
        <f>IFERROR(1/(2^ROUNDDOWN((ABS[[#This Row],[Heat capacity / K]]-ABS[[#This Row],[Base Temperature / K]])/1800,0)),"")</f>
        <v>1</v>
      </c>
      <c r="AE44" s="14">
        <f>IFERROR(1/2^(_xlfn.XLOOKUP(ABS[[#This Row],[Energy hatch]],Voltage[Voltage],Voltage[Voltage tier],"",0)-(_xlfn.XLOOKUP(ABS[[#This Row],[Base voltage]],Voltage[Voltage],Voltage[Voltage tier],"",0))),"")</f>
        <v>1</v>
      </c>
      <c r="AF44" s="15">
        <f>IFERROR(ABS[[#This Row],[Coil overclock ]]*ABS[[#This Row],[Energy overclock]],"")</f>
        <v>1</v>
      </c>
      <c r="AG44" s="16">
        <f>IFERROR(IF(ROUNDDOWN(ABS[[#This Row],[Total OC]]*ABS[[#This Row],[Base duration / s]],1)&lt;0.1,0.1,ROUNDDOWN(ABS[[#This Row],[Total OC]]*ABS[[#This Row],[Base duration / s]],1)),"")</f>
        <v>375</v>
      </c>
      <c r="AH44" s="19">
        <f>ABS[[#This Row],[Net duration / s]]/ABS[[#This Row],[Yield / ingots]]</f>
        <v>37.5</v>
      </c>
    </row>
    <row r="45" spans="2:34" x14ac:dyDescent="0.25">
      <c r="B45" s="10" t="s">
        <v>195</v>
      </c>
      <c r="C45" s="10">
        <v>5</v>
      </c>
      <c r="D45" s="10" t="s">
        <v>161</v>
      </c>
      <c r="E45" s="10" t="s">
        <v>169</v>
      </c>
      <c r="F45" s="10" t="s">
        <v>82</v>
      </c>
      <c r="G45" s="10" t="s">
        <v>50</v>
      </c>
      <c r="H45" s="10" t="s">
        <v>183</v>
      </c>
      <c r="I45" s="10"/>
      <c r="J45" s="11">
        <v>1920</v>
      </c>
      <c r="K45" s="12" t="str">
        <f>_xlfn.XLOOKUP(ABS[[#This Row],[Base EU/T]],Voltage[Voltage / V],Voltage[Voltage],"",1)</f>
        <v>EV</v>
      </c>
      <c r="L45" s="18">
        <v>600</v>
      </c>
      <c r="M45" s="11">
        <v>3693</v>
      </c>
      <c r="N45" s="11">
        <v>2304</v>
      </c>
      <c r="O45" s="11">
        <f>ABS[[#This Row],[Yield / L]]/144</f>
        <v>16</v>
      </c>
      <c r="P45" s="17">
        <f>ABS[[#This Row],[Base duration / s]]/ABS[[#This Row],[Yield / ingots]]</f>
        <v>37.5</v>
      </c>
      <c r="Q45" s="12"/>
      <c r="R45" s="12" t="str">
        <f>_xlfn.XLOOKUP(ABS[[#This Row],[Base Temperature / K]],Coils[Temperature / K],Coils[Coil],"",1)</f>
        <v>Tungstensteel</v>
      </c>
      <c r="S45" s="12" t="str">
        <f>IF(ABS[[#This Row],[Base Temperature / K]]="","",_xlfn.XLOOKUP(ABS[[#This Row],[Base Temperature / K]]+(1800*1),Coils[Temperature / K],Coils[Coil],"",1))</f>
        <v>Naquadah</v>
      </c>
      <c r="T45" s="12" t="str">
        <f>IF(ABS[[#This Row],[Base Temperature / K]]="","",_xlfn.XLOOKUP(ABS[[#This Row],[Base Temperature / K]]+(1800*2),Coils[Temperature / K],Coils[Coil],"",1))</f>
        <v>Trinium</v>
      </c>
      <c r="U45" s="12" t="str">
        <f>IF(ABS[[#This Row],[Base Temperature / K]]="","",_xlfn.XLOOKUP(ABS[[#This Row],[Base Temperature / K]]+(1800*3),Coils[Temperature / K],Coils[Coil],"",1))</f>
        <v>Tritanium</v>
      </c>
      <c r="V45" s="12" t="str">
        <f>IF(ABS[[#This Row],[Base Temperature / K]]="","",_xlfn.XLOOKUP(ABS[[#This Row],[Base Temperature / K]]+(1800*4),Coils[Temperature / K],Coils[Coil],"",1))</f>
        <v/>
      </c>
      <c r="W45" s="12" t="str">
        <f>IF(ABS[[#This Row],[Base Temperature / K]]="","",_xlfn.XLOOKUP(ABS[[#This Row],[Base Temperature / K]]+(1800*5),Coils[Temperature / K],Coils[Coil],"",1))</f>
        <v/>
      </c>
      <c r="X45" s="12" t="str">
        <f>ABS[[#This Row],[Base voltage]]</f>
        <v>EV</v>
      </c>
      <c r="Y45" s="12" t="str">
        <f>ABS[[#This Row],[Base coils]]</f>
        <v>Tungstensteel</v>
      </c>
      <c r="Z45" s="11">
        <f>IFERROR(_xlfn.XLOOKUP(ABS[[#This Row],[Coils]],Coils[Coil],Coils[Temperature / K],"",1)+((_xlfn.XLOOKUP(ABS[[#This Row],[Energy hatch]],Voltage[Voltage],Voltage[Voltage tier],"",0)-1)*100),"")</f>
        <v>4700</v>
      </c>
      <c r="AA45" s="13">
        <f>IFERROR(0.95^ROUNDDOWN((ABS[[#This Row],[Heat capacity / K]]-ABS[[#This Row],[Base Temperature / K]])/900,0),"")</f>
        <v>0.95</v>
      </c>
      <c r="AB45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1824</v>
      </c>
      <c r="AC45" s="11">
        <f>ABS[[#This Row],[EU/t]]*4</f>
        <v>7296</v>
      </c>
      <c r="AD45" s="14">
        <f>IFERROR(1/(2^ROUNDDOWN((ABS[[#This Row],[Heat capacity / K]]-ABS[[#This Row],[Base Temperature / K]])/1800,0)),"")</f>
        <v>1</v>
      </c>
      <c r="AE45" s="14">
        <f>IFERROR(1/2^(_xlfn.XLOOKUP(ABS[[#This Row],[Energy hatch]],Voltage[Voltage],Voltage[Voltage tier],"",0)-(_xlfn.XLOOKUP(ABS[[#This Row],[Base voltage]],Voltage[Voltage],Voltage[Voltage tier],"",0))),"")</f>
        <v>1</v>
      </c>
      <c r="AF45" s="15">
        <f>IFERROR(ABS[[#This Row],[Coil overclock ]]*ABS[[#This Row],[Energy overclock]],"")</f>
        <v>1</v>
      </c>
      <c r="AG45" s="16">
        <f>IFERROR(IF(ROUNDDOWN(ABS[[#This Row],[Total OC]]*ABS[[#This Row],[Base duration / s]],1)&lt;0.1,0.1,ROUNDDOWN(ABS[[#This Row],[Total OC]]*ABS[[#This Row],[Base duration / s]],1)),"")</f>
        <v>600</v>
      </c>
      <c r="AH45" s="19">
        <f>ABS[[#This Row],[Net duration / s]]/ABS[[#This Row],[Yield / ingots]]</f>
        <v>37.5</v>
      </c>
    </row>
    <row r="46" spans="2:34" x14ac:dyDescent="0.25">
      <c r="B46" s="10" t="s">
        <v>193</v>
      </c>
      <c r="C46" s="10">
        <v>5</v>
      </c>
      <c r="D46" s="10" t="s">
        <v>161</v>
      </c>
      <c r="E46" s="10" t="s">
        <v>41</v>
      </c>
      <c r="F46" s="10" t="s">
        <v>169</v>
      </c>
      <c r="G46" s="10" t="s">
        <v>94</v>
      </c>
      <c r="H46" s="10" t="s">
        <v>194</v>
      </c>
      <c r="I46" s="10"/>
      <c r="J46" s="11">
        <v>1920</v>
      </c>
      <c r="K46" s="12" t="str">
        <f>_xlfn.XLOOKUP(ABS[[#This Row],[Base EU/T]],Voltage[Voltage / V],Voltage[Voltage],"",1)</f>
        <v>EV</v>
      </c>
      <c r="L46" s="18">
        <v>450</v>
      </c>
      <c r="M46" s="11">
        <v>3850</v>
      </c>
      <c r="N46" s="11">
        <v>2160</v>
      </c>
      <c r="O46" s="11">
        <f>ABS[[#This Row],[Yield / L]]/144</f>
        <v>15</v>
      </c>
      <c r="P46" s="17">
        <f>ABS[[#This Row],[Base duration / s]]/ABS[[#This Row],[Yield / ingots]]</f>
        <v>30</v>
      </c>
      <c r="Q46" s="12"/>
      <c r="R46" s="12" t="str">
        <f>_xlfn.XLOOKUP(ABS[[#This Row],[Base Temperature / K]],Coils[Temperature / K],Coils[Coil],"",1)</f>
        <v>Tungstensteel</v>
      </c>
      <c r="S46" s="12" t="str">
        <f>IF(ABS[[#This Row],[Base Temperature / K]]="","",_xlfn.XLOOKUP(ABS[[#This Row],[Base Temperature / K]]+(1800*1),Coils[Temperature / K],Coils[Coil],"",1))</f>
        <v>Naquadah</v>
      </c>
      <c r="T46" s="12" t="str">
        <f>IF(ABS[[#This Row],[Base Temperature / K]]="","",_xlfn.XLOOKUP(ABS[[#This Row],[Base Temperature / K]]+(1800*2),Coils[Temperature / K],Coils[Coil],"",1))</f>
        <v>Trinium</v>
      </c>
      <c r="U46" s="12" t="str">
        <f>IF(ABS[[#This Row],[Base Temperature / K]]="","",_xlfn.XLOOKUP(ABS[[#This Row],[Base Temperature / K]]+(1800*3),Coils[Temperature / K],Coils[Coil],"",1))</f>
        <v>Tritanium</v>
      </c>
      <c r="V46" s="12" t="str">
        <f>IF(ABS[[#This Row],[Base Temperature / K]]="","",_xlfn.XLOOKUP(ABS[[#This Row],[Base Temperature / K]]+(1800*4),Coils[Temperature / K],Coils[Coil],"",1))</f>
        <v/>
      </c>
      <c r="W46" s="12" t="str">
        <f>IF(ABS[[#This Row],[Base Temperature / K]]="","",_xlfn.XLOOKUP(ABS[[#This Row],[Base Temperature / K]]+(1800*5),Coils[Temperature / K],Coils[Coil],"",1))</f>
        <v/>
      </c>
      <c r="X46" s="12" t="str">
        <f>ABS[[#This Row],[Base voltage]]</f>
        <v>EV</v>
      </c>
      <c r="Y46" s="12" t="str">
        <f>ABS[[#This Row],[Base coils]]</f>
        <v>Tungstensteel</v>
      </c>
      <c r="Z46" s="11">
        <f>IFERROR(_xlfn.XLOOKUP(ABS[[#This Row],[Coils]],Coils[Coil],Coils[Temperature / K],"",1)+((_xlfn.XLOOKUP(ABS[[#This Row],[Energy hatch]],Voltage[Voltage],Voltage[Voltage tier],"",0)-1)*100),"")</f>
        <v>4700</v>
      </c>
      <c r="AA46" s="13">
        <f>IFERROR(0.95^ROUNDDOWN((ABS[[#This Row],[Heat capacity / K]]-ABS[[#This Row],[Base Temperature / K]])/900,0),"")</f>
        <v>1</v>
      </c>
      <c r="AB46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1920</v>
      </c>
      <c r="AC46" s="11">
        <f>ABS[[#This Row],[EU/t]]*4</f>
        <v>7680</v>
      </c>
      <c r="AD46" s="14">
        <f>IFERROR(1/(2^ROUNDDOWN((ABS[[#This Row],[Heat capacity / K]]-ABS[[#This Row],[Base Temperature / K]])/1800,0)),"")</f>
        <v>1</v>
      </c>
      <c r="AE46" s="14">
        <f>IFERROR(1/2^(_xlfn.XLOOKUP(ABS[[#This Row],[Energy hatch]],Voltage[Voltage],Voltage[Voltage tier],"",0)-(_xlfn.XLOOKUP(ABS[[#This Row],[Base voltage]],Voltage[Voltage],Voltage[Voltage tier],"",0))),"")</f>
        <v>1</v>
      </c>
      <c r="AF46" s="15">
        <f>IFERROR(ABS[[#This Row],[Coil overclock ]]*ABS[[#This Row],[Energy overclock]],"")</f>
        <v>1</v>
      </c>
      <c r="AG46" s="16">
        <f>IFERROR(IF(ROUNDDOWN(ABS[[#This Row],[Total OC]]*ABS[[#This Row],[Base duration / s]],1)&lt;0.1,0.1,ROUNDDOWN(ABS[[#This Row],[Total OC]]*ABS[[#This Row],[Base duration / s]],1)),"")</f>
        <v>450</v>
      </c>
      <c r="AH46" s="19">
        <f>ABS[[#This Row],[Net duration / s]]/ABS[[#This Row],[Yield / ingots]]</f>
        <v>30</v>
      </c>
    </row>
    <row r="47" spans="2:34" x14ac:dyDescent="0.25">
      <c r="B47" s="10" t="s">
        <v>196</v>
      </c>
      <c r="C47" s="10">
        <v>5</v>
      </c>
      <c r="D47" s="10" t="s">
        <v>161</v>
      </c>
      <c r="E47" s="10" t="s">
        <v>72</v>
      </c>
      <c r="F47" s="10" t="s">
        <v>41</v>
      </c>
      <c r="G47" s="10" t="s">
        <v>169</v>
      </c>
      <c r="H47" s="10" t="s">
        <v>183</v>
      </c>
      <c r="I47" s="10"/>
      <c r="J47" s="11">
        <v>1920</v>
      </c>
      <c r="K47" s="12" t="str">
        <f>_xlfn.XLOOKUP(ABS[[#This Row],[Base EU/T]],Voltage[Voltage / V],Voltage[Voltage],"",1)</f>
        <v>EV</v>
      </c>
      <c r="L47" s="18">
        <v>900</v>
      </c>
      <c r="M47" s="11">
        <v>4000</v>
      </c>
      <c r="N47" s="11">
        <v>3456</v>
      </c>
      <c r="O47" s="11">
        <f>ABS[[#This Row],[Yield / L]]/144</f>
        <v>24</v>
      </c>
      <c r="P47" s="17">
        <f>ABS[[#This Row],[Base duration / s]]/ABS[[#This Row],[Yield / ingots]]</f>
        <v>37.5</v>
      </c>
      <c r="Q47" s="12"/>
      <c r="R47" s="12" t="str">
        <f>_xlfn.XLOOKUP(ABS[[#This Row],[Base Temperature / K]],Coils[Temperature / K],Coils[Coil],"",1)</f>
        <v>Tungstensteel</v>
      </c>
      <c r="S47" s="12" t="str">
        <f>IF(ABS[[#This Row],[Base Temperature / K]]="","",_xlfn.XLOOKUP(ABS[[#This Row],[Base Temperature / K]]+(1800*1),Coils[Temperature / K],Coils[Coil],"",1))</f>
        <v>Naquadah</v>
      </c>
      <c r="T47" s="12" t="str">
        <f>IF(ABS[[#This Row],[Base Temperature / K]]="","",_xlfn.XLOOKUP(ABS[[#This Row],[Base Temperature / K]]+(1800*2),Coils[Temperature / K],Coils[Coil],"",1))</f>
        <v>Trinium</v>
      </c>
      <c r="U47" s="12" t="str">
        <f>IF(ABS[[#This Row],[Base Temperature / K]]="","",_xlfn.XLOOKUP(ABS[[#This Row],[Base Temperature / K]]+(1800*3),Coils[Temperature / K],Coils[Coil],"",1))</f>
        <v>Tritanium</v>
      </c>
      <c r="V47" s="12" t="str">
        <f>IF(ABS[[#This Row],[Base Temperature / K]]="","",_xlfn.XLOOKUP(ABS[[#This Row],[Base Temperature / K]]+(1800*4),Coils[Temperature / K],Coils[Coil],"",1))</f>
        <v/>
      </c>
      <c r="W47" s="12" t="str">
        <f>IF(ABS[[#This Row],[Base Temperature / K]]="","",_xlfn.XLOOKUP(ABS[[#This Row],[Base Temperature / K]]+(1800*5),Coils[Temperature / K],Coils[Coil],"",1))</f>
        <v/>
      </c>
      <c r="X47" s="12" t="str">
        <f>ABS[[#This Row],[Base voltage]]</f>
        <v>EV</v>
      </c>
      <c r="Y47" s="12" t="str">
        <f>ABS[[#This Row],[Base coils]]</f>
        <v>Tungstensteel</v>
      </c>
      <c r="Z47" s="11">
        <f>IFERROR(_xlfn.XLOOKUP(ABS[[#This Row],[Coils]],Coils[Coil],Coils[Temperature / K],"",1)+((_xlfn.XLOOKUP(ABS[[#This Row],[Energy hatch]],Voltage[Voltage],Voltage[Voltage tier],"",0)-1)*100),"")</f>
        <v>4700</v>
      </c>
      <c r="AA47" s="13">
        <f>IFERROR(0.95^ROUNDDOWN((ABS[[#This Row],[Heat capacity / K]]-ABS[[#This Row],[Base Temperature / K]])/900,0),"")</f>
        <v>1</v>
      </c>
      <c r="AB47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1920</v>
      </c>
      <c r="AC47" s="11">
        <f>ABS[[#This Row],[EU/t]]*4</f>
        <v>7680</v>
      </c>
      <c r="AD47" s="14">
        <f>IFERROR(1/(2^ROUNDDOWN((ABS[[#This Row],[Heat capacity / K]]-ABS[[#This Row],[Base Temperature / K]])/1800,0)),"")</f>
        <v>1</v>
      </c>
      <c r="AE47" s="14">
        <f>IFERROR(1/2^(_xlfn.XLOOKUP(ABS[[#This Row],[Energy hatch]],Voltage[Voltage],Voltage[Voltage tier],"",0)-(_xlfn.XLOOKUP(ABS[[#This Row],[Base voltage]],Voltage[Voltage],Voltage[Voltage tier],"",0))),"")</f>
        <v>1</v>
      </c>
      <c r="AF47" s="15">
        <f>IFERROR(ABS[[#This Row],[Coil overclock ]]*ABS[[#This Row],[Energy overclock]],"")</f>
        <v>1</v>
      </c>
      <c r="AG47" s="16">
        <f>IFERROR(IF(ROUNDDOWN(ABS[[#This Row],[Total OC]]*ABS[[#This Row],[Base duration / s]],1)&lt;0.1,0.1,ROUNDDOWN(ABS[[#This Row],[Total OC]]*ABS[[#This Row],[Base duration / s]],1)),"")</f>
        <v>900</v>
      </c>
      <c r="AH47" s="19">
        <f>ABS[[#This Row],[Net duration / s]]/ABS[[#This Row],[Yield / ingots]]</f>
        <v>37.5</v>
      </c>
    </row>
    <row r="48" spans="2:34" x14ac:dyDescent="0.25">
      <c r="B48" s="10" t="s">
        <v>31</v>
      </c>
      <c r="C48" s="10">
        <v>5</v>
      </c>
      <c r="D48" s="10" t="s">
        <v>197</v>
      </c>
      <c r="E48" s="10" t="s">
        <v>166</v>
      </c>
      <c r="F48" s="10" t="s">
        <v>61</v>
      </c>
      <c r="G48" s="10" t="s">
        <v>66</v>
      </c>
      <c r="H48" s="10" t="s">
        <v>198</v>
      </c>
      <c r="I48" s="10"/>
      <c r="J48" s="11">
        <v>120</v>
      </c>
      <c r="K48" s="12" t="str">
        <f>_xlfn.XLOOKUP(ABS[[#This Row],[Base EU/T]],Voltage[Voltage / V],Voltage[Voltage],"",1)</f>
        <v>MV</v>
      </c>
      <c r="L48" s="18">
        <v>4160</v>
      </c>
      <c r="M48" s="11">
        <v>6400</v>
      </c>
      <c r="N48" s="11">
        <v>576</v>
      </c>
      <c r="O48" s="11">
        <f>ABS[[#This Row],[Yield / L]]/144</f>
        <v>4</v>
      </c>
      <c r="P48" s="17">
        <f>ABS[[#This Row],[Base duration / s]]/ABS[[#This Row],[Yield / ingots]]</f>
        <v>1040</v>
      </c>
      <c r="Q48" s="12"/>
      <c r="R48" s="12" t="str">
        <f>_xlfn.XLOOKUP(ABS[[#This Row],[Base Temperature / K]],Coils[Temperature / K],Coils[Coil],"",1)</f>
        <v>Naquadah</v>
      </c>
      <c r="S48" s="12" t="str">
        <f>IF(ABS[[#This Row],[Base Temperature / K]]="","",_xlfn.XLOOKUP(ABS[[#This Row],[Base Temperature / K]]+(1800*1),Coils[Temperature / K],Coils[Coil],"",1))</f>
        <v>Trinium</v>
      </c>
      <c r="T48" s="12" t="str">
        <f>IF(ABS[[#This Row],[Base Temperature / K]]="","",_xlfn.XLOOKUP(ABS[[#This Row],[Base Temperature / K]]+(1800*2),Coils[Temperature / K],Coils[Coil],"",1))</f>
        <v>Tritanium</v>
      </c>
      <c r="U48" s="12" t="str">
        <f>IF(ABS[[#This Row],[Base Temperature / K]]="","",_xlfn.XLOOKUP(ABS[[#This Row],[Base Temperature / K]]+(1800*3),Coils[Temperature / K],Coils[Coil],"",1))</f>
        <v/>
      </c>
      <c r="V48" s="12" t="str">
        <f>IF(ABS[[#This Row],[Base Temperature / K]]="","",_xlfn.XLOOKUP(ABS[[#This Row],[Base Temperature / K]]+(1800*4),Coils[Temperature / K],Coils[Coil],"",1))</f>
        <v/>
      </c>
      <c r="W48" s="12" t="str">
        <f>IF(ABS[[#This Row],[Base Temperature / K]]="","",_xlfn.XLOOKUP(ABS[[#This Row],[Base Temperature / K]]+(1800*5),Coils[Temperature / K],Coils[Coil],"",1))</f>
        <v/>
      </c>
      <c r="X48" s="12" t="str">
        <f>ABS[[#This Row],[Base voltage]]</f>
        <v>MV</v>
      </c>
      <c r="Y48" s="12" t="str">
        <f>ABS[[#This Row],[Base coils]]</f>
        <v>Naquadah</v>
      </c>
      <c r="Z48" s="11">
        <f>IFERROR(_xlfn.XLOOKUP(ABS[[#This Row],[Coils]],Coils[Coil],Coils[Temperature / K],"",1)+((_xlfn.XLOOKUP(ABS[[#This Row],[Energy hatch]],Voltage[Voltage],Voltage[Voltage tier],"",0)-1)*100),"")</f>
        <v>7200</v>
      </c>
      <c r="AA48" s="13">
        <f>IFERROR(0.95^ROUNDDOWN((ABS[[#This Row],[Heat capacity / K]]-ABS[[#This Row],[Base Temperature / K]])/900,0),"")</f>
        <v>1</v>
      </c>
      <c r="AB48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120</v>
      </c>
      <c r="AC48" s="11">
        <f>ABS[[#This Row],[EU/t]]*4</f>
        <v>480</v>
      </c>
      <c r="AD48" s="14">
        <f>IFERROR(1/(2^ROUNDDOWN((ABS[[#This Row],[Heat capacity / K]]-ABS[[#This Row],[Base Temperature / K]])/1800,0)),"")</f>
        <v>1</v>
      </c>
      <c r="AE48" s="14">
        <f>IFERROR(1/2^(_xlfn.XLOOKUP(ABS[[#This Row],[Energy hatch]],Voltage[Voltage],Voltage[Voltage tier],"",0)-(_xlfn.XLOOKUP(ABS[[#This Row],[Base voltage]],Voltage[Voltage],Voltage[Voltage tier],"",0))),"")</f>
        <v>1</v>
      </c>
      <c r="AF48" s="15">
        <f>IFERROR(ABS[[#This Row],[Coil overclock ]]*ABS[[#This Row],[Energy overclock]],"")</f>
        <v>1</v>
      </c>
      <c r="AG48" s="16">
        <f>IFERROR(IF(ROUNDDOWN(ABS[[#This Row],[Total OC]]*ABS[[#This Row],[Base duration / s]],1)&lt;0.1,0.1,ROUNDDOWN(ABS[[#This Row],[Total OC]]*ABS[[#This Row],[Base duration / s]],1)),"")</f>
        <v>4160</v>
      </c>
      <c r="AH48" s="19">
        <f>ABS[[#This Row],[Net duration / s]]/ABS[[#This Row],[Yield / ingots]]</f>
        <v>1040</v>
      </c>
    </row>
    <row r="49" spans="2:34" x14ac:dyDescent="0.25">
      <c r="B49" s="10" t="s">
        <v>199</v>
      </c>
      <c r="C49" s="10">
        <v>6</v>
      </c>
      <c r="D49" s="10" t="s">
        <v>169</v>
      </c>
      <c r="E49" s="10" t="s">
        <v>161</v>
      </c>
      <c r="F49" s="10" t="s">
        <v>82</v>
      </c>
      <c r="G49" s="10" t="s">
        <v>177</v>
      </c>
      <c r="H49" s="10" t="s">
        <v>94</v>
      </c>
      <c r="I49" s="10" t="s">
        <v>50</v>
      </c>
      <c r="J49" s="11">
        <v>1920</v>
      </c>
      <c r="K49" s="12" t="str">
        <f>_xlfn.XLOOKUP(ABS[[#This Row],[Base EU/T]],Voltage[Voltage / V],Voltage[Voltage],"",1)</f>
        <v>EV</v>
      </c>
      <c r="L49" s="18">
        <v>641.25</v>
      </c>
      <c r="M49" s="11">
        <v>4200</v>
      </c>
      <c r="N49" s="11">
        <v>2736</v>
      </c>
      <c r="O49" s="11">
        <f>ABS[[#This Row],[Yield / L]]/144</f>
        <v>19</v>
      </c>
      <c r="P49" s="17">
        <f>ABS[[#This Row],[Base duration / s]]/ABS[[#This Row],[Yield / ingots]]</f>
        <v>33.75</v>
      </c>
      <c r="Q49" s="12"/>
      <c r="R49" s="12" t="str">
        <f>_xlfn.XLOOKUP(ABS[[#This Row],[Base Temperature / K]],Coils[Temperature / K],Coils[Coil],"",1)</f>
        <v>Tungstensteel</v>
      </c>
      <c r="S49" s="12" t="str">
        <f>IF(ABS[[#This Row],[Base Temperature / K]]="","",_xlfn.XLOOKUP(ABS[[#This Row],[Base Temperature / K]]+(1800*1),Coils[Temperature / K],Coils[Coil],"",1))</f>
        <v>Naquadah</v>
      </c>
      <c r="T49" s="12" t="str">
        <f>IF(ABS[[#This Row],[Base Temperature / K]]="","",_xlfn.XLOOKUP(ABS[[#This Row],[Base Temperature / K]]+(1800*2),Coils[Temperature / K],Coils[Coil],"",1))</f>
        <v>Trinium</v>
      </c>
      <c r="U49" s="12" t="str">
        <f>IF(ABS[[#This Row],[Base Temperature / K]]="","",_xlfn.XLOOKUP(ABS[[#This Row],[Base Temperature / K]]+(1800*3),Coils[Temperature / K],Coils[Coil],"",1))</f>
        <v>Tritanium</v>
      </c>
      <c r="V49" s="12" t="str">
        <f>IF(ABS[[#This Row],[Base Temperature / K]]="","",_xlfn.XLOOKUP(ABS[[#This Row],[Base Temperature / K]]+(1800*4),Coils[Temperature / K],Coils[Coil],"",1))</f>
        <v/>
      </c>
      <c r="W49" s="12" t="str">
        <f>IF(ABS[[#This Row],[Base Temperature / K]]="","",_xlfn.XLOOKUP(ABS[[#This Row],[Base Temperature / K]]+(1800*5),Coils[Temperature / K],Coils[Coil],"",1))</f>
        <v/>
      </c>
      <c r="X49" s="12" t="str">
        <f>ABS[[#This Row],[Base voltage]]</f>
        <v>EV</v>
      </c>
      <c r="Y49" s="12" t="str">
        <f>ABS[[#This Row],[Base coils]]</f>
        <v>Tungstensteel</v>
      </c>
      <c r="Z49" s="11">
        <f>IFERROR(_xlfn.XLOOKUP(ABS[[#This Row],[Coils]],Coils[Coil],Coils[Temperature / K],"",1)+((_xlfn.XLOOKUP(ABS[[#This Row],[Energy hatch]],Voltage[Voltage],Voltage[Voltage tier],"",0)-1)*100),"")</f>
        <v>4700</v>
      </c>
      <c r="AA49" s="13">
        <f>IFERROR(0.95^ROUNDDOWN((ABS[[#This Row],[Heat capacity / K]]-ABS[[#This Row],[Base Temperature / K]])/900,0),"")</f>
        <v>1</v>
      </c>
      <c r="AB49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1920</v>
      </c>
      <c r="AC49" s="11">
        <f>ABS[[#This Row],[EU/t]]*4</f>
        <v>7680</v>
      </c>
      <c r="AD49" s="14">
        <f>IFERROR(1/(2^ROUNDDOWN((ABS[[#This Row],[Heat capacity / K]]-ABS[[#This Row],[Base Temperature / K]])/1800,0)),"")</f>
        <v>1</v>
      </c>
      <c r="AE49" s="14">
        <f>IFERROR(1/2^(_xlfn.XLOOKUP(ABS[[#This Row],[Energy hatch]],Voltage[Voltage],Voltage[Voltage tier],"",0)-(_xlfn.XLOOKUP(ABS[[#This Row],[Base voltage]],Voltage[Voltage],Voltage[Voltage tier],"",0))),"")</f>
        <v>1</v>
      </c>
      <c r="AF49" s="15">
        <f>IFERROR(ABS[[#This Row],[Coil overclock ]]*ABS[[#This Row],[Energy overclock]],"")</f>
        <v>1</v>
      </c>
      <c r="AG49" s="16">
        <f>IFERROR(IF(ROUNDDOWN(ABS[[#This Row],[Total OC]]*ABS[[#This Row],[Base duration / s]],1)&lt;0.1,0.1,ROUNDDOWN(ABS[[#This Row],[Total OC]]*ABS[[#This Row],[Base duration / s]],1)),"")</f>
        <v>641.20000000000005</v>
      </c>
      <c r="AH49" s="19">
        <f>ABS[[#This Row],[Net duration / s]]/ABS[[#This Row],[Yield / ingots]]</f>
        <v>33.747368421052634</v>
      </c>
    </row>
    <row r="50" spans="2:34" x14ac:dyDescent="0.25">
      <c r="B50" s="10" t="s">
        <v>200</v>
      </c>
      <c r="C50" s="10">
        <v>6</v>
      </c>
      <c r="D50" s="10" t="s">
        <v>169</v>
      </c>
      <c r="E50" s="10" t="s">
        <v>167</v>
      </c>
      <c r="F50" s="10" t="s">
        <v>82</v>
      </c>
      <c r="G50" s="10" t="s">
        <v>177</v>
      </c>
      <c r="H50" s="10" t="s">
        <v>94</v>
      </c>
      <c r="I50" s="10" t="s">
        <v>183</v>
      </c>
      <c r="J50" s="11">
        <v>120</v>
      </c>
      <c r="K50" s="12" t="str">
        <f>_xlfn.XLOOKUP(ABS[[#This Row],[Base EU/T]],Voltage[Voltage / V],Voltage[Voltage],"",1)</f>
        <v>MV</v>
      </c>
      <c r="L50" s="18">
        <v>3641.6</v>
      </c>
      <c r="M50" s="11">
        <v>4625</v>
      </c>
      <c r="N50" s="11">
        <v>4320</v>
      </c>
      <c r="O50" s="11">
        <f>ABS[[#This Row],[Yield / L]]/144</f>
        <v>30</v>
      </c>
      <c r="P50" s="17">
        <f>ABS[[#This Row],[Base duration / s]]/ABS[[#This Row],[Yield / ingots]]</f>
        <v>121.38666666666667</v>
      </c>
      <c r="Q50" s="12"/>
      <c r="R50" s="12" t="str">
        <f>_xlfn.XLOOKUP(ABS[[#This Row],[Base Temperature / K]],Coils[Temperature / K],Coils[Coil],"",1)</f>
        <v>HSS-G</v>
      </c>
      <c r="S50" s="12" t="str">
        <f>IF(ABS[[#This Row],[Base Temperature / K]]="","",_xlfn.XLOOKUP(ABS[[#This Row],[Base Temperature / K]]+(1800*1),Coils[Temperature / K],Coils[Coil],"",1))</f>
        <v>Naquadah</v>
      </c>
      <c r="T50" s="12" t="str">
        <f>IF(ABS[[#This Row],[Base Temperature / K]]="","",_xlfn.XLOOKUP(ABS[[#This Row],[Base Temperature / K]]+(1800*2),Coils[Temperature / K],Coils[Coil],"",1))</f>
        <v>Trinium</v>
      </c>
      <c r="U50" s="12" t="str">
        <f>IF(ABS[[#This Row],[Base Temperature / K]]="","",_xlfn.XLOOKUP(ABS[[#This Row],[Base Temperature / K]]+(1800*3),Coils[Temperature / K],Coils[Coil],"",1))</f>
        <v>Tritanium</v>
      </c>
      <c r="V50" s="12" t="str">
        <f>IF(ABS[[#This Row],[Base Temperature / K]]="","",_xlfn.XLOOKUP(ABS[[#This Row],[Base Temperature / K]]+(1800*4),Coils[Temperature / K],Coils[Coil],"",1))</f>
        <v/>
      </c>
      <c r="W50" s="12" t="str">
        <f>IF(ABS[[#This Row],[Base Temperature / K]]="","",_xlfn.XLOOKUP(ABS[[#This Row],[Base Temperature / K]]+(1800*5),Coils[Temperature / K],Coils[Coil],"",1))</f>
        <v/>
      </c>
      <c r="X50" s="12" t="str">
        <f>ABS[[#This Row],[Base voltage]]</f>
        <v>MV</v>
      </c>
      <c r="Y50" s="12" t="str">
        <f>ABS[[#This Row],[Base coils]]</f>
        <v>HSS-G</v>
      </c>
      <c r="Z50" s="11">
        <f>IFERROR(_xlfn.XLOOKUP(ABS[[#This Row],[Coils]],Coils[Coil],Coils[Temperature / K],"",1)+((_xlfn.XLOOKUP(ABS[[#This Row],[Energy hatch]],Voltage[Voltage],Voltage[Voltage tier],"",0)-1)*100),"")</f>
        <v>5400</v>
      </c>
      <c r="AA50" s="13">
        <f>IFERROR(0.95^ROUNDDOWN((ABS[[#This Row],[Heat capacity / K]]-ABS[[#This Row],[Base Temperature / K]])/900,0),"")</f>
        <v>1</v>
      </c>
      <c r="AB50" s="11">
        <f>IFERROR(ABS[[#This Row],[Energy discount]]*4^(_xlfn.XLOOKUP(ABS[[#This Row],[Energy hatch]],Voltage[Voltage],Voltage[Voltage tier],"",0)-(_xlfn.XLOOKUP(ABS[[#This Row],[Base voltage]],Voltage[Voltage],Voltage[Voltage tier],"",0)))*ABS[[#This Row],[Base EU/T]],"")</f>
        <v>120</v>
      </c>
      <c r="AC50" s="11">
        <f>ABS[[#This Row],[EU/t]]*4</f>
        <v>480</v>
      </c>
      <c r="AD50" s="14">
        <f>IFERROR(1/(2^ROUNDDOWN((ABS[[#This Row],[Heat capacity / K]]-ABS[[#This Row],[Base Temperature / K]])/1800,0)),"")</f>
        <v>1</v>
      </c>
      <c r="AE50" s="14">
        <f>IFERROR(1/2^(_xlfn.XLOOKUP(ABS[[#This Row],[Energy hatch]],Voltage[Voltage],Voltage[Voltage tier],"",0)-(_xlfn.XLOOKUP(ABS[[#This Row],[Base voltage]],Voltage[Voltage],Voltage[Voltage tier],"",0))),"")</f>
        <v>1</v>
      </c>
      <c r="AF50" s="15">
        <f>IFERROR(ABS[[#This Row],[Coil overclock ]]*ABS[[#This Row],[Energy overclock]],"")</f>
        <v>1</v>
      </c>
      <c r="AG50" s="16">
        <f>IFERROR(IF(ROUNDDOWN(ABS[[#This Row],[Total OC]]*ABS[[#This Row],[Base duration / s]],1)&lt;0.1,0.1,ROUNDDOWN(ABS[[#This Row],[Total OC]]*ABS[[#This Row],[Base duration / s]],1)),"")</f>
        <v>3641.6</v>
      </c>
      <c r="AH50" s="19">
        <f>ABS[[#This Row],[Net duration / s]]/ABS[[#This Row],[Yield / ingots]]</f>
        <v>121.38666666666667</v>
      </c>
    </row>
  </sheetData>
  <conditionalFormatting sqref="R3:R50">
    <cfRule type="containsText" dxfId="67" priority="17" operator="containsText" text="Tritanium">
      <formula>NOT(ISERROR(SEARCH("Tritanium",R3)))</formula>
    </cfRule>
    <cfRule type="containsText" dxfId="66" priority="18" operator="containsText" text="Trinium">
      <formula>NOT(ISERROR(SEARCH("Trinium",R3)))</formula>
    </cfRule>
    <cfRule type="containsText" dxfId="65" priority="19" operator="containsText" text="Naquadah">
      <formula>NOT(ISERROR(SEARCH("Naquadah",R3)))</formula>
    </cfRule>
    <cfRule type="containsText" dxfId="64" priority="20" operator="containsText" text="HSS-G">
      <formula>NOT(ISERROR(SEARCH("HSS-G",R3)))</formula>
    </cfRule>
    <cfRule type="containsText" dxfId="63" priority="21" operator="containsText" text="Tungstensteel">
      <formula>NOT(ISERROR(SEARCH("Tungstensteel",R3)))</formula>
    </cfRule>
    <cfRule type="containsText" dxfId="62" priority="22" operator="containsText" text="Nichrome">
      <formula>NOT(ISERROR(SEARCH("Nichrome",R3)))</formula>
    </cfRule>
    <cfRule type="containsText" dxfId="61" priority="23" operator="containsText" text="Kanthal">
      <formula>NOT(ISERROR(SEARCH("Kanthal",R3)))</formula>
    </cfRule>
    <cfRule type="containsText" dxfId="60" priority="24" operator="containsText" text="Cupronickel">
      <formula>NOT(ISERROR(SEARCH("Cupronickel",R3)))</formula>
    </cfRule>
  </conditionalFormatting>
  <conditionalFormatting sqref="S3:W50">
    <cfRule type="containsText" dxfId="59" priority="9" operator="containsText" text="Tritanium">
      <formula>NOT(ISERROR(SEARCH("Tritanium",S3)))</formula>
    </cfRule>
    <cfRule type="containsText" dxfId="58" priority="10" operator="containsText" text="Trinium">
      <formula>NOT(ISERROR(SEARCH("Trinium",S3)))</formula>
    </cfRule>
    <cfRule type="containsText" dxfId="57" priority="11" operator="containsText" text="Naquadah">
      <formula>NOT(ISERROR(SEARCH("Naquadah",S3)))</formula>
    </cfRule>
    <cfRule type="containsText" dxfId="56" priority="12" operator="containsText" text="HSS-G">
      <formula>NOT(ISERROR(SEARCH("HSS-G",S3)))</formula>
    </cfRule>
    <cfRule type="containsText" dxfId="55" priority="13" operator="containsText" text="Tungstensteel">
      <formula>NOT(ISERROR(SEARCH("Tungstensteel",S3)))</formula>
    </cfRule>
    <cfRule type="containsText" dxfId="54" priority="14" operator="containsText" text="Nichrome">
      <formula>NOT(ISERROR(SEARCH("Nichrome",S3)))</formula>
    </cfRule>
    <cfRule type="containsText" dxfId="53" priority="15" operator="containsText" text="Kanthal">
      <formula>NOT(ISERROR(SEARCH("Kanthal",S3)))</formula>
    </cfRule>
    <cfRule type="containsText" dxfId="52" priority="16" operator="containsText" text="Cupronickel">
      <formula>NOT(ISERROR(SEARCH("Cupronickel",S3)))</formula>
    </cfRule>
  </conditionalFormatting>
  <conditionalFormatting sqref="Y3:Y50">
    <cfRule type="containsText" dxfId="51" priority="1" operator="containsText" text="Tritanium">
      <formula>NOT(ISERROR(SEARCH("Tritanium",Y3)))</formula>
    </cfRule>
    <cfRule type="containsText" dxfId="50" priority="2" operator="containsText" text="Trinium">
      <formula>NOT(ISERROR(SEARCH("Trinium",Y3)))</formula>
    </cfRule>
    <cfRule type="containsText" dxfId="49" priority="3" operator="containsText" text="Naquadah">
      <formula>NOT(ISERROR(SEARCH("Naquadah",Y3)))</formula>
    </cfRule>
    <cfRule type="containsText" dxfId="48" priority="4" operator="containsText" text="HSS-G">
      <formula>NOT(ISERROR(SEARCH("HSS-G",Y3)))</formula>
    </cfRule>
    <cfRule type="containsText" dxfId="47" priority="5" operator="containsText" text="Tungstensteel">
      <formula>NOT(ISERROR(SEARCH("Tungstensteel",Y3)))</formula>
    </cfRule>
    <cfRule type="containsText" dxfId="46" priority="6" operator="containsText" text="Nichrome">
      <formula>NOT(ISERROR(SEARCH("Nichrome",Y3)))</formula>
    </cfRule>
    <cfRule type="containsText" dxfId="45" priority="7" operator="containsText" text="Kanthal">
      <formula>NOT(ISERROR(SEARCH("Kanthal",Y3)))</formula>
    </cfRule>
    <cfRule type="containsText" dxfId="44" priority="8" operator="containsText" text="Cupronickel">
      <formula>NOT(ISERROR(SEARCH("Cupronickel",Y3)))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AE48F6F-5B19-4410-A8D2-45F33875C885}">
          <x14:formula1>
            <xm:f>'Coils'!$B$3:$B$10</xm:f>
          </x14:formula1>
          <xm:sqref>Y3:Y50</xm:sqref>
        </x14:dataValidation>
        <x14:dataValidation type="list" allowBlank="1" showInputMessage="1" showErrorMessage="1" xr:uid="{FC24212B-3C41-4690-8CAF-EA3B282C20F1}">
          <x14:formula1>
            <xm:f>'Coils'!$E$3:$E$10</xm:f>
          </x14:formula1>
          <xm:sqref>X3:X50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06561-597B-484C-8355-E377EF2C5985}">
  <dimension ref="B1:E50"/>
  <sheetViews>
    <sheetView zoomScale="115" zoomScaleNormal="115" workbookViewId="0">
      <selection activeCell="H31" sqref="H31"/>
    </sheetView>
  </sheetViews>
  <sheetFormatPr defaultRowHeight="15" x14ac:dyDescent="0.25"/>
  <cols>
    <col min="2" max="2" width="44.140625" bestFit="1" customWidth="1"/>
    <col min="3" max="3" width="8.7109375" bestFit="1" customWidth="1"/>
    <col min="4" max="4" width="9" bestFit="1" customWidth="1"/>
  </cols>
  <sheetData>
    <row r="1" spans="2:5" x14ac:dyDescent="0.25">
      <c r="C1" s="21" t="s">
        <v>207</v>
      </c>
      <c r="D1" s="21"/>
    </row>
    <row r="2" spans="2:5" x14ac:dyDescent="0.25">
      <c r="B2" t="s">
        <v>202</v>
      </c>
      <c r="C2" s="1" t="s">
        <v>203</v>
      </c>
      <c r="D2" s="1" t="s">
        <v>204</v>
      </c>
      <c r="E2" t="s">
        <v>208</v>
      </c>
    </row>
    <row r="3" spans="2:5" x14ac:dyDescent="0.25">
      <c r="B3" t="s">
        <v>37</v>
      </c>
      <c r="C3" s="1">
        <f>_xlfn.XLOOKUP(Table9[[#This Row],[Craft]],EBF[Recipe],EBF[Base duration / s],"",0)</f>
        <v>10</v>
      </c>
      <c r="D3" s="1">
        <f>_xlfn.XLOOKUP(Table9[[#This Row],[Craft]],ABS[Recipe],ABS[Base time per ingot / s],"",0)</f>
        <v>16</v>
      </c>
      <c r="E3" s="1" t="str" cm="1">
        <f t="array" ref="E3">INDEX(Table9[[#Headers],[EBF]:[ABS]],0,MATCH(MIN(Table9[[#This Row],[EBF]:[ABS]]),Table9[[#This Row],[EBF]:[ABS]],0))</f>
        <v>EBF</v>
      </c>
    </row>
    <row r="4" spans="2:5" x14ac:dyDescent="0.25">
      <c r="B4" t="s">
        <v>61</v>
      </c>
      <c r="C4" s="1">
        <f>_xlfn.XLOOKUP(Table9[[#This Row],[Craft]],EBF[Recipe],EBF[Base duration / s],"",0)</f>
        <v>50</v>
      </c>
      <c r="D4" s="1">
        <f>_xlfn.XLOOKUP(Table9[[#This Row],[Craft]],ABS[Recipe],ABS[Base time per ingot / s],"",0)</f>
        <v>37.5</v>
      </c>
      <c r="E4" s="1" t="str" cm="1">
        <f t="array" ref="E4">INDEX(Table9[[#Headers],[EBF]:[ABS]],0,MATCH(MIN(Table9[[#This Row],[EBF]:[ABS]]),Table9[[#This Row],[EBF]:[ABS]],0))</f>
        <v>ABS</v>
      </c>
    </row>
    <row r="5" spans="2:5" x14ac:dyDescent="0.25">
      <c r="B5" t="s">
        <v>31</v>
      </c>
      <c r="C5" s="1">
        <f>_xlfn.XLOOKUP(Table9[[#This Row],[Craft]],EBF[Recipe],EBF[Base duration / s],"",0)</f>
        <v>1040</v>
      </c>
      <c r="D5" s="1">
        <f>_xlfn.XLOOKUP(Table9[[#This Row],[Craft]],ABS[Recipe],ABS[Base time per ingot / s],"",0)</f>
        <v>1040</v>
      </c>
      <c r="E5" s="1" t="str" cm="1">
        <f t="array" ref="E5">INDEX(Table9[[#Headers],[EBF]:[ABS]],0,MATCH(MIN(Table9[[#This Row],[EBF]:[ABS]]),Table9[[#This Row],[EBF]:[ABS]],0))</f>
        <v>EBF</v>
      </c>
    </row>
    <row r="6" spans="2:5" x14ac:dyDescent="0.25">
      <c r="B6" t="s">
        <v>145</v>
      </c>
      <c r="C6" s="1">
        <f>_xlfn.XLOOKUP(Table9[[#This Row],[Craft]],EBF[Recipe],EBF[Base duration / s],"",0)</f>
        <v>20</v>
      </c>
      <c r="D6" s="1">
        <f>_xlfn.XLOOKUP(Table9[[#This Row],[Craft]],ABS[Recipe],ABS[Base time per ingot / s],"",0)</f>
        <v>15</v>
      </c>
      <c r="E6" s="1" t="str" cm="1">
        <f t="array" ref="E6">INDEX(Table9[[#Headers],[EBF]:[ABS]],0,MATCH(MIN(Table9[[#This Row],[EBF]:[ABS]]),Table9[[#This Row],[EBF]:[ABS]],0))</f>
        <v>ABS</v>
      </c>
    </row>
    <row r="7" spans="2:5" x14ac:dyDescent="0.25">
      <c r="B7" t="s">
        <v>20</v>
      </c>
      <c r="C7" s="1">
        <f>_xlfn.XLOOKUP(Table9[[#This Row],[Craft]],EBF[Recipe],EBF[Base duration / s],"",0)</f>
        <v>50</v>
      </c>
      <c r="D7" s="1">
        <f>_xlfn.XLOOKUP(Table9[[#This Row],[Craft]],ABS[Recipe],ABS[Base time per ingot / s],"",0)</f>
        <v>37.5</v>
      </c>
      <c r="E7" s="1" t="str" cm="1">
        <f t="array" ref="E7">INDEX(Table9[[#Headers],[EBF]:[ABS]],0,MATCH(MIN(Table9[[#This Row],[EBF]:[ABS]]),Table9[[#This Row],[EBF]:[ABS]],0))</f>
        <v>ABS</v>
      </c>
    </row>
    <row r="8" spans="2:5" x14ac:dyDescent="0.25">
      <c r="B8" t="s">
        <v>97</v>
      </c>
      <c r="C8" s="1">
        <f>_xlfn.XLOOKUP(Table9[[#This Row],[Craft]],EBF[Recipe],EBF[Base duration / s],"",0)</f>
        <v>145.19999999999999</v>
      </c>
      <c r="D8" s="1">
        <f>_xlfn.XLOOKUP(Table9[[#This Row],[Craft]],ABS[Recipe],ABS[Base time per ingot / s],"",0)</f>
        <v>50</v>
      </c>
      <c r="E8" s="1" t="str" cm="1">
        <f t="array" ref="E8">INDEX(Table9[[#Headers],[EBF]:[ABS]],0,MATCH(MIN(Table9[[#This Row],[EBF]:[ABS]]),Table9[[#This Row],[EBF]:[ABS]],0))</f>
        <v>ABS</v>
      </c>
    </row>
    <row r="9" spans="2:5" x14ac:dyDescent="0.25">
      <c r="B9" t="s">
        <v>153</v>
      </c>
      <c r="C9" s="1">
        <f>_xlfn.XLOOKUP(Table9[[#This Row],[Craft]],EBF[Recipe],EBF[Base duration / s],"",0)</f>
        <v>60</v>
      </c>
      <c r="D9" s="1">
        <f>_xlfn.XLOOKUP(Table9[[#This Row],[Craft]],ABS[Recipe],ABS[Base time per ingot / s],"",0)</f>
        <v>45</v>
      </c>
      <c r="E9" s="1" t="str" cm="1">
        <f t="array" ref="E9">INDEX(Table9[[#Headers],[EBF]:[ABS]],0,MATCH(MIN(Table9[[#This Row],[EBF]:[ABS]]),Table9[[#This Row],[EBF]:[ABS]],0))</f>
        <v>ABS</v>
      </c>
    </row>
    <row r="10" spans="2:5" hidden="1" x14ac:dyDescent="0.25">
      <c r="B10" t="s">
        <v>200</v>
      </c>
      <c r="C10" s="1" t="str">
        <f>_xlfn.XLOOKUP(Table9[[#This Row],[Craft]],EBF[Recipe],EBF[Base duration / s],"",0)</f>
        <v/>
      </c>
      <c r="D10" s="1">
        <f>_xlfn.XLOOKUP(Table9[[#This Row],[Craft]],ABS[Recipe],ABS[Base time per ingot / s],"",0)</f>
        <v>121.38666666666667</v>
      </c>
      <c r="E10" s="1" t="str" cm="1">
        <f t="array" ref="E10">INDEX(Table9[[#Headers],[EBF]:[ABS]],0,MATCH(MIN(Table9[[#This Row],[EBF]:[ABS]]),Table9[[#This Row],[EBF]:[ABS]],0))</f>
        <v>ABS</v>
      </c>
    </row>
    <row r="11" spans="2:5" hidden="1" x14ac:dyDescent="0.25">
      <c r="B11" t="s">
        <v>199</v>
      </c>
      <c r="C11" s="1" t="str">
        <f>_xlfn.XLOOKUP(Table9[[#This Row],[Craft]],EBF[Recipe],EBF[Base duration / s],"",0)</f>
        <v/>
      </c>
      <c r="D11" s="1">
        <f>_xlfn.XLOOKUP(Table9[[#This Row],[Craft]],ABS[Recipe],ABS[Base time per ingot / s],"",0)</f>
        <v>33.75</v>
      </c>
      <c r="E11" s="1" t="str" cm="1">
        <f t="array" ref="E11">INDEX(Table9[[#Headers],[EBF]:[ABS]],0,MATCH(MIN(Table9[[#This Row],[EBF]:[ABS]]),Table9[[#This Row],[EBF]:[ABS]],0))</f>
        <v>ABS</v>
      </c>
    </row>
    <row r="12" spans="2:5" hidden="1" x14ac:dyDescent="0.25">
      <c r="B12" t="s">
        <v>182</v>
      </c>
      <c r="C12" s="1" t="str">
        <f>_xlfn.XLOOKUP(Table9[[#This Row],[Craft]],EBF[Recipe],EBF[Base duration / s],"",0)</f>
        <v/>
      </c>
      <c r="D12" s="1">
        <f>_xlfn.XLOOKUP(Table9[[#This Row],[Craft]],ABS[Recipe],ABS[Base time per ingot / s],"",0)</f>
        <v>30</v>
      </c>
      <c r="E12" s="1" t="str" cm="1">
        <f t="array" ref="E12">INDEX(Table9[[#Headers],[EBF]:[ABS]],0,MATCH(MIN(Table9[[#This Row],[EBF]:[ABS]]),Table9[[#This Row],[EBF]:[ABS]],0))</f>
        <v>ABS</v>
      </c>
    </row>
    <row r="13" spans="2:5" hidden="1" x14ac:dyDescent="0.25">
      <c r="B13" t="s">
        <v>196</v>
      </c>
      <c r="C13" s="1" t="str">
        <f>_xlfn.XLOOKUP(Table9[[#This Row],[Craft]],EBF[Recipe],EBF[Base duration / s],"",0)</f>
        <v/>
      </c>
      <c r="D13" s="1">
        <f>_xlfn.XLOOKUP(Table9[[#This Row],[Craft]],ABS[Recipe],ABS[Base time per ingot / s],"",0)</f>
        <v>37.5</v>
      </c>
      <c r="E13" s="1" t="str" cm="1">
        <f t="array" ref="E13">INDEX(Table9[[#Headers],[EBF]:[ABS]],0,MATCH(MIN(Table9[[#This Row],[EBF]:[ABS]]),Table9[[#This Row],[EBF]:[ABS]],0))</f>
        <v>ABS</v>
      </c>
    </row>
    <row r="14" spans="2:5" hidden="1" x14ac:dyDescent="0.25">
      <c r="B14" t="s">
        <v>181</v>
      </c>
      <c r="C14" s="1" t="str">
        <f>_xlfn.XLOOKUP(Table9[[#This Row],[Craft]],EBF[Recipe],EBF[Base duration / s],"",0)</f>
        <v/>
      </c>
      <c r="D14" s="1">
        <f>_xlfn.XLOOKUP(Table9[[#This Row],[Craft]],ABS[Recipe],ABS[Base time per ingot / s],"",0)</f>
        <v>37.5</v>
      </c>
      <c r="E14" s="1" t="str" cm="1">
        <f t="array" ref="E14">INDEX(Table9[[#Headers],[EBF]:[ABS]],0,MATCH(MIN(Table9[[#This Row],[EBF]:[ABS]]),Table9[[#This Row],[EBF]:[ABS]],0))</f>
        <v>ABS</v>
      </c>
    </row>
    <row r="15" spans="2:5" hidden="1" x14ac:dyDescent="0.25">
      <c r="B15" t="s">
        <v>193</v>
      </c>
      <c r="C15" s="1" t="str">
        <f>_xlfn.XLOOKUP(Table9[[#This Row],[Craft]],EBF[Recipe],EBF[Base duration / s],"",0)</f>
        <v/>
      </c>
      <c r="D15" s="1">
        <f>_xlfn.XLOOKUP(Table9[[#This Row],[Craft]],ABS[Recipe],ABS[Base time per ingot / s],"",0)</f>
        <v>30</v>
      </c>
      <c r="E15" s="1" t="str" cm="1">
        <f t="array" ref="E15">INDEX(Table9[[#Headers],[EBF]:[ABS]],0,MATCH(MIN(Table9[[#This Row],[EBF]:[ABS]]),Table9[[#This Row],[EBF]:[ABS]],0))</f>
        <v>ABS</v>
      </c>
    </row>
    <row r="16" spans="2:5" hidden="1" x14ac:dyDescent="0.25">
      <c r="B16" t="s">
        <v>195</v>
      </c>
      <c r="C16" s="1" t="str">
        <f>_xlfn.XLOOKUP(Table9[[#This Row],[Craft]],EBF[Recipe],EBF[Base duration / s],"",0)</f>
        <v/>
      </c>
      <c r="D16" s="1">
        <f>_xlfn.XLOOKUP(Table9[[#This Row],[Craft]],ABS[Recipe],ABS[Base time per ingot / s],"",0)</f>
        <v>37.5</v>
      </c>
      <c r="E16" s="1" t="str" cm="1">
        <f t="array" ref="E16">INDEX(Table9[[#Headers],[EBF]:[ABS]],0,MATCH(MIN(Table9[[#This Row],[EBF]:[ABS]]),Table9[[#This Row],[EBF]:[ABS]],0))</f>
        <v>ABS</v>
      </c>
    </row>
    <row r="17" spans="2:5" x14ac:dyDescent="0.25">
      <c r="B17" t="s">
        <v>62</v>
      </c>
      <c r="C17" s="1">
        <f>_xlfn.XLOOKUP(Table9[[#This Row],[Craft]],EBF[Recipe],EBF[Base duration / s],"",0)</f>
        <v>50</v>
      </c>
      <c r="D17" s="1">
        <f>_xlfn.XLOOKUP(Table9[[#This Row],[Craft]],ABS[Recipe],ABS[Base time per ingot / s],"",0)</f>
        <v>37.5</v>
      </c>
      <c r="E17" s="1" t="str" cm="1">
        <f t="array" ref="E17">INDEX(Table9[[#Headers],[EBF]:[ABS]],0,MATCH(MIN(Table9[[#This Row],[EBF]:[ABS]]),Table9[[#This Row],[EBF]:[ABS]],0))</f>
        <v>ABS</v>
      </c>
    </row>
    <row r="18" spans="2:5" x14ac:dyDescent="0.25">
      <c r="B18" t="s">
        <v>83</v>
      </c>
      <c r="C18" s="1">
        <f>_xlfn.XLOOKUP(Table9[[#This Row],[Craft]],EBF[Recipe],EBF[Base duration / s],"",0)</f>
        <v>70</v>
      </c>
      <c r="D18" s="1">
        <f>_xlfn.XLOOKUP(Table9[[#This Row],[Craft]],ABS[Recipe],ABS[Base time per ingot / s],"",0)</f>
        <v>52.5</v>
      </c>
      <c r="E18" s="1" t="str" cm="1">
        <f t="array" ref="E18">INDEX(Table9[[#Headers],[EBF]:[ABS]],0,MATCH(MIN(Table9[[#This Row],[EBF]:[ABS]]),Table9[[#This Row],[EBF]:[ABS]],0))</f>
        <v>ABS</v>
      </c>
    </row>
    <row r="19" spans="2:5" x14ac:dyDescent="0.25">
      <c r="B19" t="s">
        <v>79</v>
      </c>
      <c r="C19" s="1">
        <f>_xlfn.XLOOKUP(Table9[[#This Row],[Craft]],EBF[Recipe],EBF[Base duration / s],"",0)</f>
        <v>65</v>
      </c>
      <c r="D19" s="1">
        <f>_xlfn.XLOOKUP(Table9[[#This Row],[Craft]],ABS[Recipe],ABS[Base time per ingot / s],"",0)</f>
        <v>48.75</v>
      </c>
      <c r="E19" s="1" t="str" cm="1">
        <f t="array" ref="E19">INDEX(Table9[[#Headers],[EBF]:[ABS]],0,MATCH(MIN(Table9[[#This Row],[EBF]:[ABS]]),Table9[[#This Row],[EBF]:[ABS]],0))</f>
        <v>ABS</v>
      </c>
    </row>
    <row r="20" spans="2:5" x14ac:dyDescent="0.25">
      <c r="B20" t="s">
        <v>90</v>
      </c>
      <c r="C20" s="1">
        <f>_xlfn.XLOOKUP(Table9[[#This Row],[Craft]],EBF[Recipe],EBF[Base duration / s],"",0)</f>
        <v>75</v>
      </c>
      <c r="D20" s="1">
        <f>_xlfn.XLOOKUP(Table9[[#This Row],[Craft]],ABS[Recipe],ABS[Base time per ingot / s],"",0)</f>
        <v>56.25</v>
      </c>
      <c r="E20" s="1" t="str" cm="1">
        <f t="array" ref="E20">INDEX(Table9[[#Headers],[EBF]:[ABS]],0,MATCH(MIN(Table9[[#This Row],[EBF]:[ABS]]),Table9[[#This Row],[EBF]:[ABS]],0))</f>
        <v>ABS</v>
      </c>
    </row>
    <row r="21" spans="2:5" x14ac:dyDescent="0.25">
      <c r="B21" t="s">
        <v>54</v>
      </c>
      <c r="C21" s="1">
        <f>_xlfn.XLOOKUP(Table9[[#This Row],[Craft]],EBF[Recipe],EBF[Base duration / s],"",0)</f>
        <v>50</v>
      </c>
      <c r="D21" s="1">
        <f>_xlfn.XLOOKUP(Table9[[#This Row],[Craft]],ABS[Recipe],ABS[Base time per ingot / s],"",0)</f>
        <v>37.5</v>
      </c>
      <c r="E21" s="1" t="str" cm="1">
        <f t="array" ref="E21">INDEX(Table9[[#Headers],[EBF]:[ABS]],0,MATCH(MIN(Table9[[#This Row],[EBF]:[ABS]]),Table9[[#This Row],[EBF]:[ABS]],0))</f>
        <v>ABS</v>
      </c>
    </row>
    <row r="22" spans="2:5" x14ac:dyDescent="0.25">
      <c r="B22" t="s">
        <v>100</v>
      </c>
      <c r="C22" s="1">
        <f>_xlfn.XLOOKUP(Table9[[#This Row],[Craft]],EBF[Recipe],EBF[Base duration / s],"",0)</f>
        <v>720</v>
      </c>
      <c r="D22" s="1">
        <f>_xlfn.XLOOKUP(Table9[[#This Row],[Craft]],ABS[Recipe],ABS[Base time per ingot / s],"",0)</f>
        <v>720</v>
      </c>
      <c r="E22" s="1" t="str" cm="1">
        <f t="array" ref="E22">INDEX(Table9[[#Headers],[EBF]:[ABS]],0,MATCH(MIN(Table9[[#This Row],[EBF]:[ABS]]),Table9[[#This Row],[EBF]:[ABS]],0))</f>
        <v>EBF</v>
      </c>
    </row>
    <row r="23" spans="2:5" x14ac:dyDescent="0.25">
      <c r="B23" t="s">
        <v>10</v>
      </c>
      <c r="C23" s="1">
        <f>_xlfn.XLOOKUP(Table9[[#This Row],[Craft]],EBF[Recipe],EBF[Base duration / s],"",0)</f>
        <v>50</v>
      </c>
      <c r="D23" s="1">
        <f>_xlfn.XLOOKUP(Table9[[#This Row],[Craft]],ABS[Recipe],ABS[Base time per ingot / s],"",0)</f>
        <v>37.5</v>
      </c>
      <c r="E23" s="1" t="str" cm="1">
        <f t="array" ref="E23">INDEX(Table9[[#Headers],[EBF]:[ABS]],0,MATCH(MIN(Table9[[#This Row],[EBF]:[ABS]]),Table9[[#This Row],[EBF]:[ABS]],0))</f>
        <v>ABS</v>
      </c>
    </row>
    <row r="24" spans="2:5" x14ac:dyDescent="0.25">
      <c r="B24" t="s">
        <v>9</v>
      </c>
      <c r="C24" s="1">
        <f>_xlfn.XLOOKUP(Table9[[#This Row],[Craft]],EBF[Recipe],EBF[Base duration / s],"",0)</f>
        <v>50</v>
      </c>
      <c r="D24" s="1">
        <f>_xlfn.XLOOKUP(Table9[[#This Row],[Craft]],ABS[Recipe],ABS[Base time per ingot / s],"",0)</f>
        <v>18.899999999999999</v>
      </c>
      <c r="E24" s="1" t="str" cm="1">
        <f t="array" ref="E24">INDEX(Table9[[#Headers],[EBF]:[ABS]],0,MATCH(MIN(Table9[[#This Row],[EBF]:[ABS]]),Table9[[#This Row],[EBF]:[ABS]],0))</f>
        <v>ABS</v>
      </c>
    </row>
    <row r="25" spans="2:5" x14ac:dyDescent="0.25">
      <c r="B25" t="s">
        <v>206</v>
      </c>
      <c r="C25" s="1">
        <f>_xlfn.XLOOKUP(Table9[[#This Row],[Craft]],EBF[Recipe],EBF[Base duration / s],"",0)</f>
        <v>40</v>
      </c>
      <c r="D25" s="1" t="str">
        <f>_xlfn.XLOOKUP(Table9[[#This Row],[Craft]],ABS[Recipe],ABS[Base time per ingot / s],"",0)</f>
        <v/>
      </c>
      <c r="E25" s="1" t="str" cm="1">
        <f t="array" ref="E25">INDEX(Table9[[#Headers],[EBF]:[ABS]],0,MATCH(MIN(Table9[[#This Row],[EBF]:[ABS]]),Table9[[#This Row],[EBF]:[ABS]],0))</f>
        <v>EBF</v>
      </c>
    </row>
    <row r="26" spans="2:5" x14ac:dyDescent="0.25">
      <c r="B26" t="s">
        <v>174</v>
      </c>
      <c r="C26" s="1">
        <f>_xlfn.XLOOKUP(Table9[[#This Row],[Craft]],EBF[Recipe],EBF[Base duration / s],"",0)</f>
        <v>50</v>
      </c>
      <c r="D26" s="1">
        <f>_xlfn.XLOOKUP(Table9[[#This Row],[Craft]],ABS[Recipe],ABS[Base time per ingot / s],"",0)</f>
        <v>37.5</v>
      </c>
      <c r="E26" s="1" t="str" cm="1">
        <f t="array" ref="E26">INDEX(Table9[[#Headers],[EBF]:[ABS]],0,MATCH(MIN(Table9[[#This Row],[EBF]:[ABS]]),Table9[[#This Row],[EBF]:[ABS]],0))</f>
        <v>ABS</v>
      </c>
    </row>
    <row r="27" spans="2:5" x14ac:dyDescent="0.25">
      <c r="B27" t="s">
        <v>78</v>
      </c>
      <c r="C27" s="1">
        <f>_xlfn.XLOOKUP(Table9[[#This Row],[Craft]],EBF[Recipe],EBF[Base duration / s],"",0)</f>
        <v>65</v>
      </c>
      <c r="D27" s="1">
        <f>_xlfn.XLOOKUP(Table9[[#This Row],[Craft]],ABS[Recipe],ABS[Base time per ingot / s],"",0)</f>
        <v>48.75</v>
      </c>
      <c r="E27" s="1" t="str" cm="1">
        <f t="array" ref="E27">INDEX(Table9[[#Headers],[EBF]:[ABS]],0,MATCH(MIN(Table9[[#This Row],[EBF]:[ABS]]),Table9[[#This Row],[EBF]:[ABS]],0))</f>
        <v>ABS</v>
      </c>
    </row>
    <row r="28" spans="2:5" x14ac:dyDescent="0.25">
      <c r="B28" t="s">
        <v>85</v>
      </c>
      <c r="C28" s="1">
        <f>_xlfn.XLOOKUP(Table9[[#This Row],[Craft]],EBF[Recipe],EBF[Base duration / s],"",0)</f>
        <v>75</v>
      </c>
      <c r="D28" s="1">
        <f>_xlfn.XLOOKUP(Table9[[#This Row],[Craft]],ABS[Recipe],ABS[Base time per ingot / s],"",0)</f>
        <v>56.25</v>
      </c>
      <c r="E28" s="1" t="str" cm="1">
        <f t="array" ref="E28">INDEX(Table9[[#Headers],[EBF]:[ABS]],0,MATCH(MIN(Table9[[#This Row],[EBF]:[ABS]]),Table9[[#This Row],[EBF]:[ABS]],0))</f>
        <v>ABS</v>
      </c>
    </row>
    <row r="29" spans="2:5" x14ac:dyDescent="0.25">
      <c r="B29" t="s">
        <v>53</v>
      </c>
      <c r="C29" s="1">
        <f>_xlfn.XLOOKUP(Table9[[#This Row],[Craft]],EBF[Recipe],EBF[Base duration / s],"",0)</f>
        <v>45</v>
      </c>
      <c r="D29" s="1">
        <f>_xlfn.XLOOKUP(Table9[[#This Row],[Craft]],ABS[Recipe],ABS[Base time per ingot / s],"",0)</f>
        <v>33.75</v>
      </c>
      <c r="E29" s="1" t="str" cm="1">
        <f t="array" ref="E29">INDEX(Table9[[#Headers],[EBF]:[ABS]],0,MATCH(MIN(Table9[[#This Row],[EBF]:[ABS]]),Table9[[#This Row],[EBF]:[ABS]],0))</f>
        <v>ABS</v>
      </c>
    </row>
    <row r="30" spans="2:5" hidden="1" x14ac:dyDescent="0.25">
      <c r="B30" t="s">
        <v>127</v>
      </c>
      <c r="C30" s="1" t="str">
        <f>_xlfn.XLOOKUP(Table9[[#This Row],[Craft]],EBF[Recipe],EBF[Base duration / s],"",0)</f>
        <v/>
      </c>
      <c r="D30" s="1">
        <f>_xlfn.XLOOKUP(Table9[[#This Row],[Craft]],ABS[Recipe],ABS[Base time per ingot / s],"",0)</f>
        <v>0.625</v>
      </c>
      <c r="E30" s="1" t="str" cm="1">
        <f t="array" ref="E30">INDEX(Table9[[#Headers],[EBF]:[ABS]],0,MATCH(MIN(Table9[[#This Row],[EBF]:[ABS]]),Table9[[#This Row],[EBF]:[ABS]],0))</f>
        <v>ABS</v>
      </c>
    </row>
    <row r="31" spans="2:5" x14ac:dyDescent="0.25">
      <c r="B31" t="s">
        <v>60</v>
      </c>
      <c r="C31" s="1">
        <f>_xlfn.XLOOKUP(Table9[[#This Row],[Craft]],EBF[Recipe],EBF[Base duration / s],"",0)</f>
        <v>50</v>
      </c>
      <c r="D31" s="1">
        <f>_xlfn.XLOOKUP(Table9[[#This Row],[Craft]],ABS[Recipe],ABS[Base time per ingot / s],"",0)</f>
        <v>37.5</v>
      </c>
      <c r="E31" s="1" t="str" cm="1">
        <f t="array" ref="E31">INDEX(Table9[[#Headers],[EBF]:[ABS]],0,MATCH(MIN(Table9[[#This Row],[EBF]:[ABS]]),Table9[[#This Row],[EBF]:[ABS]],0))</f>
        <v>ABS</v>
      </c>
    </row>
    <row r="32" spans="2:5" x14ac:dyDescent="0.25">
      <c r="B32" t="s">
        <v>175</v>
      </c>
      <c r="C32" s="1">
        <f>_xlfn.XLOOKUP(Table9[[#This Row],[Craft]],EBF[Recipe],EBF[Base duration / s],"",0)</f>
        <v>60</v>
      </c>
      <c r="D32" s="1">
        <f>_xlfn.XLOOKUP(Table9[[#This Row],[Craft]],ABS[Recipe],ABS[Base time per ingot / s],"",0)</f>
        <v>30</v>
      </c>
      <c r="E32" s="1" t="str" cm="1">
        <f t="array" ref="E32">INDEX(Table9[[#Headers],[EBF]:[ABS]],0,MATCH(MIN(Table9[[#This Row],[EBF]:[ABS]]),Table9[[#This Row],[EBF]:[ABS]],0))</f>
        <v>ABS</v>
      </c>
    </row>
    <row r="33" spans="2:5" x14ac:dyDescent="0.25">
      <c r="B33" t="s">
        <v>56</v>
      </c>
      <c r="C33" s="1">
        <f>_xlfn.XLOOKUP(Table9[[#This Row],[Craft]],EBF[Recipe],EBF[Base duration / s],"",0)</f>
        <v>50</v>
      </c>
      <c r="D33" s="1">
        <f>_xlfn.XLOOKUP(Table9[[#This Row],[Craft]],ABS[Recipe],ABS[Base time per ingot / s],"",0)</f>
        <v>37.5</v>
      </c>
      <c r="E33" s="1" t="str" cm="1">
        <f t="array" ref="E33">INDEX(Table9[[#Headers],[EBF]:[ABS]],0,MATCH(MIN(Table9[[#This Row],[EBF]:[ABS]]),Table9[[#This Row],[EBF]:[ABS]],0))</f>
        <v>ABS</v>
      </c>
    </row>
    <row r="34" spans="2:5" x14ac:dyDescent="0.25">
      <c r="B34" t="s">
        <v>92</v>
      </c>
      <c r="C34" s="1">
        <f>_xlfn.XLOOKUP(Table9[[#This Row],[Craft]],EBF[Recipe],EBF[Base duration / s],"",0)</f>
        <v>80</v>
      </c>
      <c r="D34" s="1">
        <f>_xlfn.XLOOKUP(Table9[[#This Row],[Craft]],ABS[Recipe],ABS[Base time per ingot / s],"",0)</f>
        <v>60</v>
      </c>
      <c r="E34" s="1" t="str" cm="1">
        <f t="array" ref="E34">INDEX(Table9[[#Headers],[EBF]:[ABS]],0,MATCH(MIN(Table9[[#This Row],[EBF]:[ABS]]),Table9[[#This Row],[EBF]:[ABS]],0))</f>
        <v>ABS</v>
      </c>
    </row>
    <row r="35" spans="2:5" x14ac:dyDescent="0.25">
      <c r="B35" t="s">
        <v>99</v>
      </c>
      <c r="C35" s="1">
        <f>_xlfn.XLOOKUP(Table9[[#This Row],[Craft]],EBF[Recipe],EBF[Base duration / s],"",0)</f>
        <v>640</v>
      </c>
      <c r="D35" s="1">
        <f>_xlfn.XLOOKUP(Table9[[#This Row],[Craft]],ABS[Recipe],ABS[Base time per ingot / s],"",0)</f>
        <v>640</v>
      </c>
      <c r="E35" s="1" t="str" cm="1">
        <f t="array" ref="E35">INDEX(Table9[[#Headers],[EBF]:[ABS]],0,MATCH(MIN(Table9[[#This Row],[EBF]:[ABS]]),Table9[[#This Row],[EBF]:[ABS]],0))</f>
        <v>EBF</v>
      </c>
    </row>
    <row r="36" spans="2:5" x14ac:dyDescent="0.25">
      <c r="B36" t="s">
        <v>69</v>
      </c>
      <c r="C36" s="1">
        <f>_xlfn.XLOOKUP(Table9[[#This Row],[Craft]],EBF[Recipe],EBF[Base duration / s],"",0)</f>
        <v>55</v>
      </c>
      <c r="D36" s="1">
        <f>_xlfn.XLOOKUP(Table9[[#This Row],[Craft]],ABS[Recipe],ABS[Base time per ingot / s],"",0)</f>
        <v>41.25</v>
      </c>
      <c r="E36" s="1" t="str" cm="1">
        <f t="array" ref="E36">INDEX(Table9[[#Headers],[EBF]:[ABS]],0,MATCH(MIN(Table9[[#This Row],[EBF]:[ABS]]),Table9[[#This Row],[EBF]:[ABS]],0))</f>
        <v>ABS</v>
      </c>
    </row>
    <row r="37" spans="2:5" x14ac:dyDescent="0.25">
      <c r="B37" t="s">
        <v>55</v>
      </c>
      <c r="C37" s="1">
        <f>_xlfn.XLOOKUP(Table9[[#This Row],[Craft]],EBF[Recipe],EBF[Base duration / s],"",0)</f>
        <v>50</v>
      </c>
      <c r="D37" s="1">
        <f>_xlfn.XLOOKUP(Table9[[#This Row],[Craft]],ABS[Recipe],ABS[Base time per ingot / s],"",0)</f>
        <v>37.5</v>
      </c>
      <c r="E37" s="1" t="str" cm="1">
        <f t="array" ref="E37">INDEX(Table9[[#Headers],[EBF]:[ABS]],0,MATCH(MIN(Table9[[#This Row],[EBF]:[ABS]]),Table9[[#This Row],[EBF]:[ABS]],0))</f>
        <v>ABS</v>
      </c>
    </row>
    <row r="38" spans="2:5" x14ac:dyDescent="0.25">
      <c r="B38" t="s">
        <v>159</v>
      </c>
      <c r="C38" s="1">
        <f>_xlfn.XLOOKUP(Table9[[#This Row],[Craft]],EBF[Recipe],EBF[Base duration / s],"",0)</f>
        <v>60</v>
      </c>
      <c r="D38" s="1">
        <f>_xlfn.XLOOKUP(Table9[[#This Row],[Craft]],ABS[Recipe],ABS[Base time per ingot / s],"",0)</f>
        <v>45</v>
      </c>
      <c r="E38" s="1" t="str" cm="1">
        <f t="array" ref="E38">INDEX(Table9[[#Headers],[EBF]:[ABS]],0,MATCH(MIN(Table9[[#This Row],[EBF]:[ABS]]),Table9[[#This Row],[EBF]:[ABS]],0))</f>
        <v>ABS</v>
      </c>
    </row>
    <row r="39" spans="2:5" hidden="1" x14ac:dyDescent="0.25">
      <c r="B39" t="s">
        <v>150</v>
      </c>
      <c r="C39" s="1" t="str">
        <f>_xlfn.XLOOKUP(Table9[[#This Row],[Craft]],EBF[Recipe],EBF[Base duration / s],"",0)</f>
        <v/>
      </c>
      <c r="D39" s="1">
        <f>_xlfn.XLOOKUP(Table9[[#This Row],[Craft]],ABS[Recipe],ABS[Base time per ingot / s],"",0)</f>
        <v>37.5</v>
      </c>
      <c r="E39" s="1" t="str" cm="1">
        <f t="array" ref="E39">INDEX(Table9[[#Headers],[EBF]:[ABS]],0,MATCH(MIN(Table9[[#This Row],[EBF]:[ABS]]),Table9[[#This Row],[EBF]:[ABS]],0))</f>
        <v>ABS</v>
      </c>
    </row>
    <row r="40" spans="2:5" hidden="1" x14ac:dyDescent="0.25">
      <c r="B40" t="s">
        <v>164</v>
      </c>
      <c r="C40" s="1" t="str">
        <f>_xlfn.XLOOKUP(Table9[[#This Row],[Craft]],EBF[Recipe],EBF[Base duration / s],"",0)</f>
        <v/>
      </c>
      <c r="D40" s="1">
        <f>_xlfn.XLOOKUP(Table9[[#This Row],[Craft]],ABS[Recipe],ABS[Base time per ingot / s],"",0)</f>
        <v>37.5</v>
      </c>
      <c r="E40" s="1" t="str" cm="1">
        <f t="array" ref="E40">INDEX(Table9[[#Headers],[EBF]:[ABS]],0,MATCH(MIN(Table9[[#This Row],[EBF]:[ABS]]),Table9[[#This Row],[EBF]:[ABS]],0))</f>
        <v>ABS</v>
      </c>
    </row>
    <row r="41" spans="2:5" hidden="1" x14ac:dyDescent="0.25">
      <c r="B41" t="s">
        <v>137</v>
      </c>
      <c r="C41" s="1" t="str">
        <f>_xlfn.XLOOKUP(Table9[[#This Row],[Craft]],EBF[Recipe],EBF[Base duration / s],"",0)</f>
        <v/>
      </c>
      <c r="D41" s="1">
        <f>_xlfn.XLOOKUP(Table9[[#This Row],[Craft]],ABS[Recipe],ABS[Base time per ingot / s],"",0)</f>
        <v>2.5</v>
      </c>
      <c r="E41" s="1" t="str" cm="1">
        <f t="array" ref="E41">INDEX(Table9[[#Headers],[EBF]:[ABS]],0,MATCH(MIN(Table9[[#This Row],[EBF]:[ABS]]),Table9[[#This Row],[EBF]:[ABS]],0))</f>
        <v>ABS</v>
      </c>
    </row>
    <row r="42" spans="2:5" x14ac:dyDescent="0.25">
      <c r="B42" t="s">
        <v>76</v>
      </c>
      <c r="C42" s="1">
        <f>_xlfn.XLOOKUP(Table9[[#This Row],[Craft]],EBF[Recipe],EBF[Base duration / s],"",0)</f>
        <v>60</v>
      </c>
      <c r="D42" s="1">
        <f>_xlfn.XLOOKUP(Table9[[#This Row],[Craft]],ABS[Recipe],ABS[Base time per ingot / s],"",0)</f>
        <v>45</v>
      </c>
      <c r="E42" s="1" t="str" cm="1">
        <f t="array" ref="E42">INDEX(Table9[[#Headers],[EBF]:[ABS]],0,MATCH(MIN(Table9[[#This Row],[EBF]:[ABS]]),Table9[[#This Row],[EBF]:[ABS]],0))</f>
        <v>ABS</v>
      </c>
    </row>
    <row r="43" spans="2:5" x14ac:dyDescent="0.25">
      <c r="B43" t="s">
        <v>86</v>
      </c>
      <c r="C43" s="1">
        <f>_xlfn.XLOOKUP(Table9[[#This Row],[Craft]],EBF[Recipe],EBF[Base duration / s],"",0)</f>
        <v>75</v>
      </c>
      <c r="D43" s="1">
        <f>_xlfn.XLOOKUP(Table9[[#This Row],[Craft]],ABS[Recipe],ABS[Base time per ingot / s],"",0)</f>
        <v>56.25</v>
      </c>
      <c r="E43" s="1" t="str" cm="1">
        <f t="array" ref="E43">INDEX(Table9[[#Headers],[EBF]:[ABS]],0,MATCH(MIN(Table9[[#This Row],[EBF]:[ABS]]),Table9[[#This Row],[EBF]:[ABS]],0))</f>
        <v>ABS</v>
      </c>
    </row>
    <row r="44" spans="2:5" x14ac:dyDescent="0.25">
      <c r="B44" t="s">
        <v>64</v>
      </c>
      <c r="C44" s="1">
        <f>_xlfn.XLOOKUP(Table9[[#This Row],[Craft]],EBF[Recipe],EBF[Base duration / s],"",0)</f>
        <v>50</v>
      </c>
      <c r="D44" s="1">
        <f>_xlfn.XLOOKUP(Table9[[#This Row],[Craft]],ABS[Recipe],ABS[Base time per ingot / s],"",0)</f>
        <v>37.5</v>
      </c>
      <c r="E44" s="1" t="str" cm="1">
        <f t="array" ref="E44">INDEX(Table9[[#Headers],[EBF]:[ABS]],0,MATCH(MIN(Table9[[#This Row],[EBF]:[ABS]]),Table9[[#This Row],[EBF]:[ABS]],0))</f>
        <v>ABS</v>
      </c>
    </row>
    <row r="45" spans="2:5" x14ac:dyDescent="0.25">
      <c r="B45" t="s">
        <v>77</v>
      </c>
      <c r="C45" s="1">
        <f>_xlfn.XLOOKUP(Table9[[#This Row],[Craft]],EBF[Recipe],EBF[Base duration / s],"",0)</f>
        <v>65</v>
      </c>
      <c r="D45" s="1">
        <f>_xlfn.XLOOKUP(Table9[[#This Row],[Craft]],ABS[Recipe],ABS[Base time per ingot / s],"",0)</f>
        <v>48.75</v>
      </c>
      <c r="E45" s="1" t="str" cm="1">
        <f t="array" ref="E45">INDEX(Table9[[#Headers],[EBF]:[ABS]],0,MATCH(MIN(Table9[[#This Row],[EBF]:[ABS]]),Table9[[#This Row],[EBF]:[ABS]],0))</f>
        <v>ABS</v>
      </c>
    </row>
    <row r="46" spans="2:5" x14ac:dyDescent="0.25">
      <c r="B46" t="s">
        <v>18</v>
      </c>
      <c r="C46" s="1">
        <f>_xlfn.XLOOKUP(Table9[[#This Row],[Craft]],EBF[Recipe],EBF[Base duration / s],"",0)</f>
        <v>75</v>
      </c>
      <c r="D46" s="1">
        <f>_xlfn.XLOOKUP(Table9[[#This Row],[Craft]],ABS[Recipe],ABS[Base time per ingot / s],"",0)</f>
        <v>56.25</v>
      </c>
      <c r="E46" s="1" t="str" cm="1">
        <f t="array" ref="E46">INDEX(Table9[[#Headers],[EBF]:[ABS]],0,MATCH(MIN(Table9[[#This Row],[EBF]:[ABS]]),Table9[[#This Row],[EBF]:[ABS]],0))</f>
        <v>ABS</v>
      </c>
    </row>
    <row r="47" spans="2:5" x14ac:dyDescent="0.25">
      <c r="B47" t="s">
        <v>63</v>
      </c>
      <c r="C47" s="1">
        <f>_xlfn.XLOOKUP(Table9[[#This Row],[Craft]],EBF[Recipe],EBF[Base duration / s],"",0)</f>
        <v>50</v>
      </c>
      <c r="D47" s="1">
        <f>_xlfn.XLOOKUP(Table9[[#This Row],[Craft]],ABS[Recipe],ABS[Base time per ingot / s],"",0)</f>
        <v>37.5</v>
      </c>
      <c r="E47" s="1" t="str" cm="1">
        <f t="array" ref="E47">INDEX(Table9[[#Headers],[EBF]:[ABS]],0,MATCH(MIN(Table9[[#This Row],[EBF]:[ABS]]),Table9[[#This Row],[EBF]:[ABS]],0))</f>
        <v>ABS</v>
      </c>
    </row>
    <row r="48" spans="2:5" x14ac:dyDescent="0.25">
      <c r="B48" t="s">
        <v>19</v>
      </c>
      <c r="C48" s="1">
        <f>_xlfn.XLOOKUP(Table9[[#This Row],[Craft]],EBF[Recipe],EBF[Base duration / s],"",0)</f>
        <v>60</v>
      </c>
      <c r="D48" s="1">
        <f>_xlfn.XLOOKUP(Table9[[#This Row],[Craft]],ABS[Recipe],ABS[Base time per ingot / s],"",0)</f>
        <v>45</v>
      </c>
      <c r="E48" s="1" t="str" cm="1">
        <f t="array" ref="E48">INDEX(Table9[[#Headers],[EBF]:[ABS]],0,MATCH(MIN(Table9[[#This Row],[EBF]:[ABS]]),Table9[[#This Row],[EBF]:[ABS]],0))</f>
        <v>ABS</v>
      </c>
    </row>
    <row r="49" spans="2:5" x14ac:dyDescent="0.25">
      <c r="B49" t="s">
        <v>91</v>
      </c>
      <c r="C49" s="1">
        <f>_xlfn.XLOOKUP(Table9[[#This Row],[Craft]],EBF[Recipe],EBF[Base duration / s],"",0)</f>
        <v>79.900000000000006</v>
      </c>
      <c r="D49" s="1">
        <f>_xlfn.XLOOKUP(Table9[[#This Row],[Craft]],ABS[Recipe],ABS[Base time per ingot / s],"",0)</f>
        <v>29.961111111111109</v>
      </c>
      <c r="E49" s="1" t="str" cm="1">
        <f t="array" ref="E49">INDEX(Table9[[#Headers],[EBF]:[ABS]],0,MATCH(MIN(Table9[[#This Row],[EBF]:[ABS]]),Table9[[#This Row],[EBF]:[ABS]],0))</f>
        <v>ABS</v>
      </c>
    </row>
    <row r="50" spans="2:5" x14ac:dyDescent="0.25">
      <c r="B50" t="s">
        <v>144</v>
      </c>
      <c r="C50" s="1">
        <f>_xlfn.XLOOKUP(Table9[[#This Row],[Craft]],EBF[Recipe],EBF[Base duration / s],"",0)</f>
        <v>30</v>
      </c>
      <c r="D50" s="1">
        <f>_xlfn.XLOOKUP(Table9[[#This Row],[Craft]],ABS[Recipe],ABS[Base time per ingot / s],"",0)</f>
        <v>22.5</v>
      </c>
      <c r="E50" s="1" t="str" cm="1">
        <f t="array" ref="E50">INDEX(Table9[[#Headers],[EBF]:[ABS]],0,MATCH(MIN(Table9[[#This Row],[EBF]:[ABS]]),Table9[[#This Row],[EBF]:[ABS]],0))</f>
        <v>ABS</v>
      </c>
    </row>
  </sheetData>
  <mergeCells count="1">
    <mergeCell ref="C1:D1"/>
  </mergeCells>
  <conditionalFormatting sqref="E3:E50">
    <cfRule type="containsText" dxfId="5" priority="1" operator="containsText" text="ABS">
      <formula>NOT(ISERROR(SEARCH("ABS",E3)))</formula>
    </cfRule>
    <cfRule type="containsText" dxfId="4" priority="2" operator="containsText" text="EBF">
      <formula>NOT(ISERROR(SEARCH("EBF",E3)))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0070C-DE74-4E20-9F0F-3005F0615EC7}">
  <dimension ref="B2:K12"/>
  <sheetViews>
    <sheetView workbookViewId="0">
      <selection activeCell="L20" sqref="L20"/>
    </sheetView>
  </sheetViews>
  <sheetFormatPr defaultRowHeight="15" x14ac:dyDescent="0.25"/>
  <cols>
    <col min="2" max="2" width="13.7109375" bestFit="1" customWidth="1"/>
    <col min="3" max="3" width="17.5703125" customWidth="1"/>
    <col min="5" max="5" width="11.42578125" bestFit="1" customWidth="1"/>
    <col min="6" max="6" width="13.5703125" customWidth="1"/>
    <col min="7" max="7" width="13" customWidth="1"/>
  </cols>
  <sheetData>
    <row r="2" spans="2:11" x14ac:dyDescent="0.25">
      <c r="B2" t="s">
        <v>105</v>
      </c>
      <c r="C2" t="s">
        <v>106</v>
      </c>
      <c r="E2" t="s">
        <v>111</v>
      </c>
      <c r="F2" t="s">
        <v>109</v>
      </c>
      <c r="G2" t="s">
        <v>110</v>
      </c>
    </row>
    <row r="3" spans="2:11" x14ac:dyDescent="0.25">
      <c r="B3" t="s">
        <v>107</v>
      </c>
      <c r="C3">
        <v>1800</v>
      </c>
      <c r="E3" t="s">
        <v>1</v>
      </c>
      <c r="F3">
        <v>0</v>
      </c>
      <c r="G3">
        <f>32*(4^Voltage[[#This Row],[Voltage tier]])</f>
        <v>32</v>
      </c>
    </row>
    <row r="4" spans="2:11" x14ac:dyDescent="0.25">
      <c r="B4" t="s">
        <v>54</v>
      </c>
      <c r="C4">
        <v>2700</v>
      </c>
      <c r="E4" t="s">
        <v>2</v>
      </c>
      <c r="F4">
        <v>1</v>
      </c>
      <c r="G4">
        <f>32*(4^Voltage[[#This Row],[Voltage tier]])</f>
        <v>128</v>
      </c>
      <c r="K4">
        <v>128</v>
      </c>
    </row>
    <row r="5" spans="2:11" x14ac:dyDescent="0.25">
      <c r="B5" t="s">
        <v>78</v>
      </c>
      <c r="C5">
        <v>3600</v>
      </c>
      <c r="E5" t="s">
        <v>3</v>
      </c>
      <c r="F5">
        <v>2</v>
      </c>
      <c r="G5">
        <f>32*(4^Voltage[[#This Row],[Voltage tier]])</f>
        <v>512</v>
      </c>
      <c r="K5">
        <v>512</v>
      </c>
    </row>
    <row r="6" spans="2:11" x14ac:dyDescent="0.25">
      <c r="B6" t="s">
        <v>64</v>
      </c>
      <c r="C6">
        <v>4500</v>
      </c>
      <c r="E6" t="s">
        <v>4</v>
      </c>
      <c r="F6">
        <v>3</v>
      </c>
      <c r="G6">
        <f>32*(4^Voltage[[#This Row],[Voltage tier]])</f>
        <v>2048</v>
      </c>
    </row>
    <row r="7" spans="2:11" x14ac:dyDescent="0.25">
      <c r="B7" t="s">
        <v>79</v>
      </c>
      <c r="C7">
        <v>5400</v>
      </c>
      <c r="E7" t="s">
        <v>5</v>
      </c>
      <c r="F7">
        <v>4</v>
      </c>
      <c r="G7">
        <f>32*(4^Voltage[[#This Row],[Voltage tier]])</f>
        <v>8192</v>
      </c>
    </row>
    <row r="8" spans="2:11" x14ac:dyDescent="0.25">
      <c r="B8" t="s">
        <v>45</v>
      </c>
      <c r="C8">
        <v>7200</v>
      </c>
      <c r="E8" t="s">
        <v>6</v>
      </c>
      <c r="F8">
        <v>5</v>
      </c>
      <c r="G8">
        <f>32*(4^Voltage[[#This Row],[Voltage tier]])</f>
        <v>32768</v>
      </c>
    </row>
    <row r="9" spans="2:11" x14ac:dyDescent="0.25">
      <c r="B9" t="s">
        <v>71</v>
      </c>
      <c r="C9">
        <v>9001</v>
      </c>
      <c r="E9" t="s">
        <v>8</v>
      </c>
      <c r="F9">
        <v>6</v>
      </c>
      <c r="G9">
        <f>32*(4^Voltage[[#This Row],[Voltage tier]])</f>
        <v>131072</v>
      </c>
    </row>
    <row r="10" spans="2:11" x14ac:dyDescent="0.25">
      <c r="B10" t="s">
        <v>108</v>
      </c>
      <c r="C10">
        <v>10800</v>
      </c>
      <c r="E10" t="s">
        <v>7</v>
      </c>
      <c r="F10">
        <v>7</v>
      </c>
      <c r="G10">
        <f>32*(4^Voltage[[#This Row],[Voltage tier]])</f>
        <v>524288</v>
      </c>
    </row>
    <row r="12" spans="2:11" x14ac:dyDescent="0.25">
      <c r="B12" t="s">
        <v>33</v>
      </c>
      <c r="C12">
        <f>0.67</f>
        <v>0.67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Field Gen Wires</vt:lpstr>
      <vt:lpstr>EBF</vt:lpstr>
      <vt:lpstr>Sheet1</vt:lpstr>
      <vt:lpstr>ABS</vt:lpstr>
      <vt:lpstr>EBF vs ABS Comparison</vt:lpstr>
      <vt:lpstr>Coils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Green</dc:creator>
  <cp:lastModifiedBy>Robert Green</cp:lastModifiedBy>
  <dcterms:created xsi:type="dcterms:W3CDTF">2023-02-16T15:39:20Z</dcterms:created>
  <dcterms:modified xsi:type="dcterms:W3CDTF">2023-02-20T19:15:43Z</dcterms:modified>
</cp:coreProperties>
</file>